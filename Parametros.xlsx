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and\Documents\IECS\OPS\SIFILIS\Visualizador\ops_sifilis\"/>
    </mc:Choice>
  </mc:AlternateContent>
  <xr:revisionPtr revIDLastSave="0" documentId="13_ncr:1_{5CDB6785-8518-44FE-99C3-A405A344EB26}" xr6:coauthVersionLast="47" xr6:coauthVersionMax="47" xr10:uidLastSave="{00000000-0000-0000-0000-000000000000}"/>
  <bookViews>
    <workbookView xWindow="-120" yWindow="-120" windowWidth="29040" windowHeight="15840" xr2:uid="{39C0B630-4603-48B8-BDB1-4242DA5BF4BD}"/>
  </bookViews>
  <sheets>
    <sheet name="ParametrosModificables" sheetId="1" r:id="rId1"/>
    <sheet name="Hoja1" sheetId="3" r:id="rId2"/>
    <sheet name="ParametrosNoModificab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M3" i="1"/>
  <c r="L2" i="1"/>
  <c r="N3" i="1" s="1"/>
  <c r="O3" i="1" s="1"/>
  <c r="L4" i="1"/>
  <c r="L8" i="1" s="1"/>
  <c r="L3" i="1"/>
  <c r="M20" i="3"/>
  <c r="S9" i="3"/>
  <c r="N9" i="3"/>
  <c r="L9" i="3"/>
  <c r="M9" i="3"/>
  <c r="O9" i="3"/>
  <c r="P9" i="3"/>
  <c r="Q9" i="3"/>
  <c r="N12" i="3"/>
  <c r="M12" i="3"/>
  <c r="M11" i="3" a="1"/>
  <c r="M11" i="3" s="1"/>
  <c r="M10" i="3"/>
  <c r="G4" i="3"/>
  <c r="R4" i="3" s="1"/>
  <c r="S4" i="3"/>
  <c r="O4" i="3"/>
  <c r="N4" i="3"/>
  <c r="G7" i="3"/>
  <c r="M4" i="3"/>
  <c r="L4" i="3"/>
  <c r="F4" i="3"/>
  <c r="H4" i="3"/>
  <c r="I4" i="3"/>
  <c r="J4" i="3"/>
  <c r="E4" i="3"/>
  <c r="J10" i="3"/>
  <c r="I9" i="3"/>
  <c r="H8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9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7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6" i="3"/>
  <c r="E51" i="3"/>
  <c r="E29" i="3"/>
  <c r="E34" i="3"/>
  <c r="E66" i="3"/>
  <c r="E83" i="3"/>
  <c r="E81" i="3"/>
  <c r="E82" i="3"/>
  <c r="E36" i="3"/>
  <c r="E65" i="3"/>
  <c r="E80" i="3"/>
  <c r="E31" i="3"/>
  <c r="E77" i="3"/>
  <c r="E53" i="3"/>
  <c r="E75" i="3"/>
  <c r="E37" i="3"/>
  <c r="E33" i="3"/>
  <c r="E45" i="3"/>
  <c r="E69" i="3"/>
  <c r="E39" i="3"/>
  <c r="E60" i="3"/>
  <c r="E38" i="3"/>
  <c r="E55" i="3"/>
  <c r="E44" i="3"/>
  <c r="E56" i="3"/>
  <c r="E71" i="3"/>
  <c r="E74" i="3"/>
  <c r="E46" i="3"/>
  <c r="E59" i="3"/>
  <c r="E68" i="3"/>
  <c r="E30" i="3"/>
  <c r="E32" i="3"/>
  <c r="E28" i="3"/>
  <c r="E57" i="3"/>
  <c r="E40" i="3"/>
  <c r="E41" i="3"/>
  <c r="E42" i="3"/>
  <c r="E47" i="3"/>
  <c r="E61" i="3"/>
  <c r="E54" i="3"/>
  <c r="E50" i="3"/>
  <c r="E79" i="3"/>
  <c r="E78" i="3"/>
  <c r="E72" i="3"/>
  <c r="E62" i="3"/>
  <c r="E49" i="3"/>
  <c r="E73" i="3"/>
  <c r="E52" i="3"/>
  <c r="E43" i="3"/>
  <c r="E48" i="3"/>
  <c r="E35" i="3"/>
  <c r="E70" i="3"/>
  <c r="E67" i="3"/>
  <c r="E76" i="3"/>
  <c r="E58" i="3"/>
  <c r="E63" i="3"/>
  <c r="E64" i="3"/>
  <c r="N2" i="1" l="1"/>
  <c r="O2" i="1" s="1"/>
  <c r="L7" i="1"/>
  <c r="M7" i="1"/>
  <c r="N13" i="1" s="1"/>
  <c r="M8" i="1"/>
  <c r="N7" i="1"/>
  <c r="M2" i="1"/>
  <c r="Q4" i="3"/>
  <c r="M13" i="1" l="1"/>
  <c r="N10" i="1"/>
  <c r="O10" i="1" s="1"/>
  <c r="P10" i="1" s="1"/>
  <c r="T7" i="1"/>
  <c r="O6" i="1"/>
  <c r="P5" i="1"/>
  <c r="P6" i="1" s="1"/>
  <c r="T8" i="1"/>
  <c r="O5" i="1"/>
  <c r="Q6" i="1" l="1"/>
  <c r="U7" i="1"/>
  <c r="V7" i="1" s="1"/>
  <c r="U8" i="1"/>
  <c r="V8" i="1" s="1"/>
  <c r="Q5" i="1"/>
  <c r="M15" i="1"/>
  <c r="O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<sst xmlns="http://schemas.openxmlformats.org/spreadsheetml/2006/main" count="138" uniqueCount="131">
  <si>
    <t>Parametro</t>
  </si>
  <si>
    <t>Descripcion</t>
  </si>
  <si>
    <t>Tipo</t>
  </si>
  <si>
    <t>Decimal</t>
  </si>
  <si>
    <t>Inflacion</t>
  </si>
  <si>
    <t>Numero de Nacimientos Vivos</t>
  </si>
  <si>
    <t>nNacimientos</t>
  </si>
  <si>
    <t>Prevalencia de Sifilis Gestacional</t>
  </si>
  <si>
    <t>pSifilisGestacional</t>
  </si>
  <si>
    <t>Tasa de Mortalidad Neonatal (cada 1000 nacidos vivos)</t>
  </si>
  <si>
    <t>Tasa de Mortinato (por mil nacimientos)</t>
  </si>
  <si>
    <t>Expectativa de vida al nacer (Años)</t>
  </si>
  <si>
    <t>Porcentaje de embarazos con cuidado prenatal</t>
  </si>
  <si>
    <t>pPrenatalCare</t>
  </si>
  <si>
    <t>rMortinato</t>
  </si>
  <si>
    <t>rMuerteNeonatal</t>
  </si>
  <si>
    <t>tExpectativaVida</t>
  </si>
  <si>
    <t>Porcentaje de testeo para Sifilis Gestacional en cuidado prenatal</t>
  </si>
  <si>
    <t>pTesteoSGestacional</t>
  </si>
  <si>
    <t>Argentina</t>
  </si>
  <si>
    <t>Brasil</t>
  </si>
  <si>
    <t>Colombia</t>
  </si>
  <si>
    <t>Probabilidad de mortinato en Sifilis gestacional no tratada</t>
  </si>
  <si>
    <t>pMortinatoSG</t>
  </si>
  <si>
    <t>Probabilidad de Muerte Neonatal en Sifilis Gestacional no tratada</t>
  </si>
  <si>
    <t>pMuerteNeonatalSG</t>
  </si>
  <si>
    <t>pSifilisCongenitaSG</t>
  </si>
  <si>
    <t>Media de Hospitalización de un bebe con Sífilis Congénita (días</t>
  </si>
  <si>
    <t>tDiasHospSifilisCongenita</t>
  </si>
  <si>
    <t>Costo de 1 Test rápido Treponemico</t>
  </si>
  <si>
    <t>Costo de 1 Test de Laboratorio Treponémico</t>
  </si>
  <si>
    <t>Costo de 1 Test de Laboratorio No Treponémico</t>
  </si>
  <si>
    <t>Costo de 1 día de hospitalización en Neonatologia</t>
  </si>
  <si>
    <t>cLNTP</t>
  </si>
  <si>
    <t>cRTP</t>
  </si>
  <si>
    <t>cLTP</t>
  </si>
  <si>
    <t>cDiaHospNeo</t>
  </si>
  <si>
    <t>cPeniSodica</t>
  </si>
  <si>
    <t>Efectividad de Penicilina para Muerte Neonatal en Sifilis Gestacional</t>
  </si>
  <si>
    <t>Efectividad de Penicilina para  Sifilis Congenita en Sifilis Gestacional</t>
  </si>
  <si>
    <t>Efectividad de Penicilina para Mortinato en Sifilis Gestacional</t>
  </si>
  <si>
    <t>Cantidad de días en tratamiento con Penicilina Sodica</t>
  </si>
  <si>
    <t>tDiasPeniSodica</t>
  </si>
  <si>
    <t>Chile</t>
  </si>
  <si>
    <t>Porcentaje de Sifilis Gestacional tratada</t>
  </si>
  <si>
    <t>pSGTratadas</t>
  </si>
  <si>
    <t>Porcentaje de Sifilis Gestacional tratada objetivo</t>
  </si>
  <si>
    <t>pSGTratadasObj</t>
  </si>
  <si>
    <t>Porcentaje de Sifilis Gestacional testeada objetivo</t>
  </si>
  <si>
    <t>pTesteoSGestacionalObj</t>
  </si>
  <si>
    <t>efPenicilinaMortinato</t>
  </si>
  <si>
    <t>efPenicilinaMuerteNeonatal</t>
  </si>
  <si>
    <t>efPenicilinaSifilisCongenita</t>
  </si>
  <si>
    <t>Sensibilidad de Test Rápido</t>
  </si>
  <si>
    <t>Especificidad de Test Rápido</t>
  </si>
  <si>
    <t>pRTPSensibilidad</t>
  </si>
  <si>
    <t>pRTPEspecificidad</t>
  </si>
  <si>
    <t>Tasa de descuento</t>
  </si>
  <si>
    <t>pDescuento</t>
  </si>
  <si>
    <t>Disutilidad Sifilis Congenita</t>
  </si>
  <si>
    <t>uSifilisCongenita</t>
  </si>
  <si>
    <t>Costo Programático</t>
  </si>
  <si>
    <t>cCostoProgramatico</t>
  </si>
  <si>
    <t>cPeniBenza</t>
  </si>
  <si>
    <t>Costo de 100.000 UI de Penicilina Sodica</t>
  </si>
  <si>
    <t>cDxNeonatoSospechoso</t>
  </si>
  <si>
    <t>cDxNeonatoCS</t>
  </si>
  <si>
    <t>Probabilidad de Sifilis Congenita sintomatica en Sifilis Gestacional no tratada</t>
  </si>
  <si>
    <t>Probabilidad de Sifilis Congenita asintomatica con evaluacion anormal en Sifilis Gestacional no tratada</t>
  </si>
  <si>
    <t>pSifilisCongenitaSGAsin</t>
  </si>
  <si>
    <t>tTiempoDisutilidad</t>
  </si>
  <si>
    <t>Tiempo durante el cual se tiene en cuenta la disutilidad (Años)</t>
  </si>
  <si>
    <t>Tasa de mortalidad 1m-12m</t>
  </si>
  <si>
    <t>Tasa de mortalidad 2 año</t>
  </si>
  <si>
    <t>Tasa de mortalidad 3 año</t>
  </si>
  <si>
    <t>Tasa de mortalidad 4 año</t>
  </si>
  <si>
    <t>Probabilidad de Secuelas en Sifilis Congenita Sintomatica</t>
  </si>
  <si>
    <t>Probabilidad de Secuelas en Sifilis Congenita Asintomatica</t>
  </si>
  <si>
    <t>tMuerte1</t>
  </si>
  <si>
    <t>tMuerte2</t>
  </si>
  <si>
    <t>tMuerte3</t>
  </si>
  <si>
    <t>tMuerte4</t>
  </si>
  <si>
    <t>pSecuelasAsintomatico</t>
  </si>
  <si>
    <t>pSecuelasSintomatico</t>
  </si>
  <si>
    <t>Probabilidad de muerte neonatal sintomatico</t>
  </si>
  <si>
    <t>Probabilidad de muerte neonatal asintomatico</t>
  </si>
  <si>
    <t>HR Muerte PostNeonatal Sintomaticos</t>
  </si>
  <si>
    <t>HR Muerte PostNeonatal Asintomaticos</t>
  </si>
  <si>
    <t>Tasa de mortalidad 5 año</t>
  </si>
  <si>
    <t>tMuerte0</t>
  </si>
  <si>
    <t>Considerar muertes hasta año</t>
  </si>
  <si>
    <t>tConsideraMuertes</t>
  </si>
  <si>
    <t>Considerar disutilidad hasta año</t>
  </si>
  <si>
    <t>tConsideraDisutilidad</t>
  </si>
  <si>
    <t>Costo de 2.400.000 UI de Penicilina Benzatinica</t>
  </si>
  <si>
    <t>Costo de evaluación de Neonato con madre no tratada asintomatico</t>
  </si>
  <si>
    <t>Costo de evaluación de Neonato con SC</t>
  </si>
  <si>
    <t>Peso nacimiento sifilis congenitas</t>
  </si>
  <si>
    <t>nPesoSC</t>
  </si>
  <si>
    <t>rrMuerteSintomaticos0</t>
  </si>
  <si>
    <t>rrMuerteAsintomaticos0</t>
  </si>
  <si>
    <t>HR Muerte  Sintomaticos 1</t>
  </si>
  <si>
    <t>HR Muerte  Asintomaticos 1</t>
  </si>
  <si>
    <t>rrMuerteSintomaticos1</t>
  </si>
  <si>
    <t>rrMuerteAsintomaticos1</t>
  </si>
  <si>
    <t>rrMuerteSintomaticos2</t>
  </si>
  <si>
    <t>rrMuerteAsintomaticos2</t>
  </si>
  <si>
    <t>rrMuerteSintomaticos3</t>
  </si>
  <si>
    <t>rrMuerteAsintomaticos3</t>
  </si>
  <si>
    <t>rrMuerteSintomaticos4</t>
  </si>
  <si>
    <t>rrMuerteAsintomaticos4</t>
  </si>
  <si>
    <t>rrMuerteSintomaticos5</t>
  </si>
  <si>
    <t>rrMuerteAsintomaticos5</t>
  </si>
  <si>
    <t>HR Muerte  Asintomaticos 5</t>
  </si>
  <si>
    <t>HR Muerte  Sintomaticos 5</t>
  </si>
  <si>
    <t>HR Muerte  Asintomaticos 4</t>
  </si>
  <si>
    <t>HR Muerte  Sintomaticos 4</t>
  </si>
  <si>
    <t>HR Muerte  Asintomaticos 3</t>
  </si>
  <si>
    <t>HR Muerte  Sintomaticos 3</t>
  </si>
  <si>
    <t>HR Muerte  Asintomaticos 2</t>
  </si>
  <si>
    <t>HR Muerte  Sintomaticos 2</t>
  </si>
  <si>
    <t>pMuerteNeonatalSC</t>
  </si>
  <si>
    <t>pMuerteNeonatalSCAsin</t>
  </si>
  <si>
    <t>Antenatal care Testeadas ref</t>
  </si>
  <si>
    <t>Nuevas tratadas</t>
  </si>
  <si>
    <t>Sifilis</t>
  </si>
  <si>
    <t>Mortinato</t>
  </si>
  <si>
    <t>% Tratado</t>
  </si>
  <si>
    <t>Muerte Neonatal</t>
  </si>
  <si>
    <t>Sifilis CS</t>
  </si>
  <si>
    <t>Sifilis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</si>
</sst>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0.000"/>
    <numFmt numFmtId="166" formatCode="0.0000000000000"/>
    <numFmt numFmtId="167" formatCode="0.00000"/>
    <numFmt numFmtId="168" formatCode="0.00000000000"/>
    <numFmt numFmtId="169" formatCode="_-* #,##0.0000000000_-;\-* #,##0.0000000000_-;_-* &quot;-&quot;??_-;_-@_-"/>
    <numFmt numFmtId="170" formatCode="0.000000000000000000"/>
    <numFmt numFmtId="171" formatCode="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2" fontId="5" fillId="0" borderId="1" xfId="0" applyNumberFormat="1" applyFont="1" applyBorder="1"/>
    <xf numFmtId="2" fontId="8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/>
    <xf numFmtId="0" fontId="7" fillId="2" borderId="1" xfId="0" applyFont="1" applyFill="1" applyBorder="1" applyAlignment="1">
      <alignment horizontal="center"/>
    </xf>
    <xf numFmtId="0" fontId="5" fillId="3" borderId="1" xfId="0" applyFont="1" applyFill="1" applyBorder="1"/>
    <xf numFmtId="167" fontId="5" fillId="0" borderId="1" xfId="0" applyNumberFormat="1" applyFont="1" applyBorder="1"/>
    <xf numFmtId="2" fontId="0" fillId="0" borderId="0" xfId="2" applyNumberFormat="1" applyFont="1"/>
    <xf numFmtId="2" fontId="1" fillId="2" borderId="1" xfId="2" applyNumberFormat="1" applyFont="1" applyFill="1" applyBorder="1" applyAlignment="1">
      <alignment horizontal="center"/>
    </xf>
    <xf numFmtId="2" fontId="5" fillId="0" borderId="1" xfId="2" applyNumberFormat="1" applyFont="1" applyFill="1" applyBorder="1"/>
    <xf numFmtId="1" fontId="5" fillId="0" borderId="1" xfId="0" applyNumberFormat="1" applyFont="1" applyBorder="1" applyAlignment="1">
      <alignment horizontal="center"/>
    </xf>
    <xf numFmtId="1" fontId="5" fillId="0" borderId="1" xfId="2" applyNumberFormat="1" applyFont="1" applyFill="1" applyBorder="1" applyAlignment="1">
      <alignment horizontal="center"/>
    </xf>
    <xf numFmtId="1" fontId="5" fillId="0" borderId="1" xfId="0" applyNumberFormat="1" applyFont="1" applyBorder="1"/>
    <xf numFmtId="2" fontId="8" fillId="0" borderId="1" xfId="0" applyNumberFormat="1" applyFont="1" applyBorder="1"/>
    <xf numFmtId="169" fontId="0" fillId="0" borderId="1" xfId="2" applyNumberFormat="1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0" borderId="2" xfId="0" applyFont="1" applyBorder="1"/>
    <xf numFmtId="165" fontId="5" fillId="0" borderId="0" xfId="0" applyNumberFormat="1" applyFont="1"/>
    <xf numFmtId="1" fontId="5" fillId="0" borderId="0" xfId="0" applyNumberFormat="1" applyFont="1" applyAlignment="1">
      <alignment horizontal="center"/>
    </xf>
    <xf numFmtId="170" fontId="0" fillId="0" borderId="0" xfId="0" applyNumberFormat="1"/>
    <xf numFmtId="168" fontId="0" fillId="0" borderId="0" xfId="0" applyNumberFormat="1"/>
    <xf numFmtId="164" fontId="5" fillId="0" borderId="0" xfId="1" applyFont="1" applyFill="1" applyBorder="1"/>
    <xf numFmtId="2" fontId="5" fillId="0" borderId="0" xfId="0" applyNumberFormat="1" applyFont="1"/>
    <xf numFmtId="165" fontId="5" fillId="0" borderId="2" xfId="0" applyNumberFormat="1" applyFont="1" applyBorder="1"/>
    <xf numFmtId="166" fontId="5" fillId="0" borderId="0" xfId="0" applyNumberFormat="1" applyFont="1"/>
    <xf numFmtId="166" fontId="6" fillId="0" borderId="0" xfId="0" applyNumberFormat="1" applyFont="1"/>
    <xf numFmtId="2" fontId="9" fillId="0" borderId="1" xfId="0" applyNumberFormat="1" applyFont="1" applyBorder="1" applyAlignment="1">
      <alignment horizontal="right" wrapText="1"/>
    </xf>
    <xf numFmtId="2" fontId="6" fillId="0" borderId="1" xfId="0" applyNumberFormat="1" applyFont="1" applyBorder="1"/>
    <xf numFmtId="0" fontId="1" fillId="2" borderId="3" xfId="0" applyFont="1" applyFill="1" applyBorder="1" applyAlignment="1">
      <alignment horizontal="center"/>
    </xf>
    <xf numFmtId="1" fontId="5" fillId="0" borderId="0" xfId="2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right" wrapText="1"/>
    </xf>
    <xf numFmtId="0" fontId="5" fillId="3" borderId="4" xfId="0" applyFont="1" applyFill="1" applyBorder="1"/>
    <xf numFmtId="2" fontId="5" fillId="0" borderId="1" xfId="0" applyNumberFormat="1" applyFont="1" applyBorder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171" fontId="5" fillId="0" borderId="1" xfId="2" applyNumberFormat="1" applyFont="1" applyFill="1" applyBorder="1" applyAlignment="1">
      <alignment horizontal="center"/>
    </xf>
    <xf numFmtId="171" fontId="6" fillId="0" borderId="1" xfId="0" applyNumberFormat="1" applyFont="1" applyBorder="1" applyAlignment="1">
      <alignment horizontal="center"/>
    </xf>
    <xf numFmtId="1" fontId="5" fillId="0" borderId="0" xfId="0" applyNumberFormat="1" applyFont="1" applyBorder="1"/>
    <xf numFmtId="167" fontId="5" fillId="0" borderId="0" xfId="0" applyNumberFormat="1" applyFont="1" applyBorder="1"/>
    <xf numFmtId="165" fontId="5" fillId="0" borderId="0" xfId="0" applyNumberFormat="1" applyFont="1" applyBorder="1"/>
    <xf numFmtId="2" fontId="5" fillId="0" borderId="0" xfId="0" applyNumberFormat="1" applyFont="1" applyBorder="1"/>
    <xf numFmtId="2" fontId="8" fillId="0" borderId="0" xfId="0" applyNumberFormat="1" applyFont="1" applyBorder="1" applyAlignment="1">
      <alignment horizontal="right" wrapText="1"/>
    </xf>
    <xf numFmtId="169" fontId="0" fillId="0" borderId="0" xfId="2" applyNumberFormat="1" applyFont="1" applyBorder="1"/>
    <xf numFmtId="0" fontId="0" fillId="0" borderId="0" xfId="0" applyBorder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5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0" fillId="6" borderId="0" xfId="0" applyFill="1"/>
    <xf numFmtId="0" fontId="0" fillId="0" borderId="0" xfId="0" applyFill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5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9E29-26F9-4178-AF17-8988C84731EF}">
  <sheetPr codeName="Hoja1"/>
  <dimension ref="A1:V93"/>
  <sheetViews>
    <sheetView tabSelected="1" workbookViewId="0">
      <selection activeCell="B10" sqref="B10:B11"/>
    </sheetView>
  </sheetViews>
  <sheetFormatPr baseColWidth="10" defaultRowHeight="15" x14ac:dyDescent="0.25"/>
  <cols>
    <col min="1" max="1" width="73.42578125" customWidth="1"/>
    <col min="2" max="2" width="32.5703125" customWidth="1"/>
    <col min="3" max="3" width="24" customWidth="1"/>
    <col min="4" max="4" width="25.140625" customWidth="1"/>
    <col min="5" max="6" width="20.140625" customWidth="1"/>
    <col min="7" max="7" width="13.7109375" style="13" bestFit="1" customWidth="1"/>
    <col min="8" max="8" width="13.7109375" bestFit="1" customWidth="1"/>
    <col min="9" max="9" width="12.5703125" bestFit="1" customWidth="1"/>
    <col min="12" max="12" width="12.5703125" bestFit="1" customWidth="1"/>
    <col min="13" max="13" width="25.5703125" customWidth="1"/>
    <col min="14" max="14" width="16.85546875" customWidth="1"/>
    <col min="15" max="15" width="23.42578125" customWidth="1"/>
    <col min="16" max="16" width="12" bestFit="1" customWidth="1"/>
  </cols>
  <sheetData>
    <row r="1" spans="1:22" x14ac:dyDescent="0.25">
      <c r="A1" s="1" t="s">
        <v>1</v>
      </c>
      <c r="B1" s="1" t="s">
        <v>0</v>
      </c>
      <c r="C1" s="1" t="s">
        <v>19</v>
      </c>
      <c r="D1" s="1" t="s">
        <v>20</v>
      </c>
      <c r="E1" s="1" t="s">
        <v>43</v>
      </c>
      <c r="F1" s="1" t="s">
        <v>21</v>
      </c>
      <c r="G1" s="14" t="s">
        <v>2</v>
      </c>
      <c r="H1" s="1" t="s">
        <v>3</v>
      </c>
      <c r="I1" s="1" t="s">
        <v>4</v>
      </c>
      <c r="M1" t="s">
        <v>123</v>
      </c>
      <c r="N1" t="s">
        <v>125</v>
      </c>
      <c r="O1" t="s">
        <v>124</v>
      </c>
      <c r="P1">
        <v>1</v>
      </c>
      <c r="Q1" t="s">
        <v>127</v>
      </c>
      <c r="R1">
        <v>1</v>
      </c>
    </row>
    <row r="2" spans="1:22" x14ac:dyDescent="0.25">
      <c r="A2" s="21" t="s">
        <v>5</v>
      </c>
      <c r="B2" s="57" t="s">
        <v>6</v>
      </c>
      <c r="C2" s="18">
        <v>508067</v>
      </c>
      <c r="D2" s="18">
        <v>1000000</v>
      </c>
      <c r="E2" s="18">
        <v>300000</v>
      </c>
      <c r="F2" s="18">
        <v>300000</v>
      </c>
      <c r="G2" s="15">
        <v>3</v>
      </c>
      <c r="H2" s="16">
        <v>0</v>
      </c>
      <c r="I2" s="16">
        <v>0</v>
      </c>
      <c r="K2" s="18"/>
      <c r="L2" s="43">
        <f xml:space="preserve"> C2 / ((1000 - C3) / 1000)</f>
        <v>510620.10050251259</v>
      </c>
      <c r="M2">
        <f>L2*C7*C8</f>
        <v>378369.49447236187</v>
      </c>
      <c r="N2">
        <f>L2*C7*C8*C4*P1</f>
        <v>22702.16966834171</v>
      </c>
      <c r="O2">
        <f>(N2*(1-C9))*R1</f>
        <v>4086.3905403015092</v>
      </c>
    </row>
    <row r="3" spans="1:22" x14ac:dyDescent="0.25">
      <c r="A3" s="21" t="s">
        <v>10</v>
      </c>
      <c r="B3" s="57" t="s">
        <v>14</v>
      </c>
      <c r="C3" s="12">
        <v>5</v>
      </c>
      <c r="D3" s="12">
        <v>4.5999999999999999E-2</v>
      </c>
      <c r="E3" s="12">
        <v>4.5999999999999999E-2</v>
      </c>
      <c r="F3" s="12">
        <v>4.5999999999999999E-2</v>
      </c>
      <c r="G3" s="15">
        <v>3</v>
      </c>
      <c r="H3" s="16">
        <v>2</v>
      </c>
      <c r="I3" s="16">
        <v>0</v>
      </c>
      <c r="K3" s="12"/>
      <c r="L3" s="44">
        <f>5/1000</f>
        <v>5.0000000000000001E-3</v>
      </c>
      <c r="M3">
        <f>L2*C7*(1-C8)</f>
        <v>106719.60100502512</v>
      </c>
      <c r="N3">
        <f>L2*C7*(1-C8)*C4*P1</f>
        <v>6403.1760603015073</v>
      </c>
      <c r="O3">
        <f>(N3)*R1</f>
        <v>6403.1760603015073</v>
      </c>
    </row>
    <row r="4" spans="1:22" x14ac:dyDescent="0.25">
      <c r="A4" s="21" t="s">
        <v>7</v>
      </c>
      <c r="B4" s="57" t="s">
        <v>8</v>
      </c>
      <c r="C4" s="9">
        <v>0.06</v>
      </c>
      <c r="D4" s="9">
        <v>0.1</v>
      </c>
      <c r="E4" s="9">
        <v>0.1</v>
      </c>
      <c r="F4" s="9">
        <v>0.1</v>
      </c>
      <c r="G4" s="15">
        <v>2</v>
      </c>
      <c r="H4" s="16">
        <v>2</v>
      </c>
      <c r="I4" s="16">
        <v>0</v>
      </c>
      <c r="J4" s="3"/>
      <c r="K4" s="9"/>
      <c r="L4" s="45">
        <f>26/100</f>
        <v>0.26</v>
      </c>
      <c r="S4">
        <v>6394.0945000000002</v>
      </c>
      <c r="T4">
        <v>5610.009</v>
      </c>
      <c r="U4">
        <f>S4-T4</f>
        <v>784.08550000000014</v>
      </c>
    </row>
    <row r="5" spans="1:22" x14ac:dyDescent="0.25">
      <c r="A5" s="21" t="s">
        <v>9</v>
      </c>
      <c r="B5" s="57" t="s">
        <v>15</v>
      </c>
      <c r="C5" s="9">
        <v>10</v>
      </c>
      <c r="D5" s="9">
        <v>1</v>
      </c>
      <c r="E5" s="9">
        <v>1</v>
      </c>
      <c r="F5" s="9">
        <v>1</v>
      </c>
      <c r="G5" s="15">
        <v>3</v>
      </c>
      <c r="H5" s="16">
        <v>2</v>
      </c>
      <c r="I5" s="16">
        <v>0</v>
      </c>
      <c r="K5" s="9"/>
      <c r="L5" s="45"/>
      <c r="N5" t="s">
        <v>126</v>
      </c>
      <c r="O5">
        <f>(O2+O3)*0.256</f>
        <v>2685.3290497543726</v>
      </c>
      <c r="P5">
        <f>(O2+O3)*0.256*(1-0.88)</f>
        <v>322.2394859705247</v>
      </c>
      <c r="Q5">
        <f>O5-P5</f>
        <v>2363.089563783848</v>
      </c>
    </row>
    <row r="6" spans="1:22" x14ac:dyDescent="0.25">
      <c r="A6" s="21" t="s">
        <v>11</v>
      </c>
      <c r="B6" s="57" t="s">
        <v>16</v>
      </c>
      <c r="C6" s="7">
        <v>77.5</v>
      </c>
      <c r="D6" s="7">
        <v>77.5</v>
      </c>
      <c r="E6" s="7">
        <v>77.5</v>
      </c>
      <c r="F6" s="7">
        <v>77.5</v>
      </c>
      <c r="G6" s="15">
        <v>3</v>
      </c>
      <c r="H6" s="17">
        <v>2</v>
      </c>
      <c r="I6" s="16">
        <v>0</v>
      </c>
      <c r="K6" s="7"/>
      <c r="L6" s="46"/>
      <c r="N6" t="s">
        <v>128</v>
      </c>
      <c r="O6">
        <f>((O2+O3)-O5)*0.123</f>
        <v>959.92121875438318</v>
      </c>
      <c r="P6">
        <f>((O2+O3)- P5) *(0.123*(1-0.8))</f>
        <v>250.11624701995922</v>
      </c>
      <c r="Q6" s="55">
        <f>O6-P6</f>
        <v>709.80497173442393</v>
      </c>
    </row>
    <row r="7" spans="1:22" x14ac:dyDescent="0.25">
      <c r="A7" s="21" t="s">
        <v>12</v>
      </c>
      <c r="B7" s="57" t="s">
        <v>13</v>
      </c>
      <c r="C7" s="7">
        <v>0.95</v>
      </c>
      <c r="D7" s="7">
        <v>0.9</v>
      </c>
      <c r="E7" s="7">
        <v>0.9</v>
      </c>
      <c r="F7" s="7">
        <v>0.9</v>
      </c>
      <c r="G7" s="15">
        <v>2</v>
      </c>
      <c r="H7" s="17">
        <v>2</v>
      </c>
      <c r="I7" s="16">
        <v>0</v>
      </c>
      <c r="K7" s="7"/>
      <c r="L7">
        <f>L2*C7*C8*C9*C4</f>
        <v>18615.779128040202</v>
      </c>
      <c r="M7">
        <f>((C7*((1-C8)+(C8*(1-C9)))) + (1-C7))*C4*L2</f>
        <v>12021.426902110556</v>
      </c>
      <c r="N7" s="52">
        <f>L2-(L7+M7)</f>
        <v>479982.89447236183</v>
      </c>
      <c r="S7" t="s">
        <v>129</v>
      </c>
      <c r="T7">
        <f>((O2+O3)-O5)*0.155</f>
        <v>1209.6568203815398</v>
      </c>
      <c r="U7">
        <f>((O2+O3)-P5)*0.155*(1-0.97)</f>
        <v>47.278071083041127</v>
      </c>
      <c r="V7" s="56">
        <f>T7-U7</f>
        <v>1162.3787492984986</v>
      </c>
    </row>
    <row r="8" spans="1:22" x14ac:dyDescent="0.25">
      <c r="A8" s="21" t="s">
        <v>17</v>
      </c>
      <c r="B8" s="57" t="s">
        <v>18</v>
      </c>
      <c r="C8" s="7">
        <v>0.78</v>
      </c>
      <c r="D8" s="7">
        <v>0.8</v>
      </c>
      <c r="E8" s="7">
        <v>0.8</v>
      </c>
      <c r="F8" s="7">
        <v>0.8</v>
      </c>
      <c r="G8" s="15">
        <v>2</v>
      </c>
      <c r="H8" s="17">
        <v>2</v>
      </c>
      <c r="I8" s="16">
        <v>0</v>
      </c>
      <c r="K8" s="7"/>
      <c r="L8" s="46">
        <f>L4*(1-C24)</f>
        <v>3.1199999999999999E-2</v>
      </c>
      <c r="M8" s="51">
        <f>L4</f>
        <v>0.26</v>
      </c>
      <c r="S8" t="s">
        <v>130</v>
      </c>
      <c r="T8">
        <f>((O2+O3)-O5)*0.17</f>
        <v>1326.7203836442695</v>
      </c>
      <c r="U8">
        <f>((O2+O3)-P5)*0.17*(1-0.97)</f>
        <v>51.853368284625752</v>
      </c>
      <c r="V8" s="56">
        <f>T8-U8</f>
        <v>1274.8670153596438</v>
      </c>
    </row>
    <row r="9" spans="1:22" x14ac:dyDescent="0.25">
      <c r="A9" s="21" t="s">
        <v>44</v>
      </c>
      <c r="B9" s="57" t="s">
        <v>45</v>
      </c>
      <c r="C9" s="7">
        <v>0.82</v>
      </c>
      <c r="D9" s="7">
        <v>0.9</v>
      </c>
      <c r="E9" s="7">
        <v>0.9</v>
      </c>
      <c r="F9" s="7">
        <v>0.9</v>
      </c>
      <c r="G9" s="15">
        <v>2</v>
      </c>
      <c r="H9" s="17">
        <v>2</v>
      </c>
      <c r="I9" s="16">
        <v>0</v>
      </c>
      <c r="K9" s="7"/>
      <c r="L9" s="46"/>
      <c r="M9" s="50"/>
    </row>
    <row r="10" spans="1:22" x14ac:dyDescent="0.25">
      <c r="A10" s="21" t="s">
        <v>48</v>
      </c>
      <c r="B10" s="57" t="s">
        <v>49</v>
      </c>
      <c r="C10" s="7">
        <v>1</v>
      </c>
      <c r="D10" s="7">
        <v>0.95</v>
      </c>
      <c r="E10" s="7">
        <v>0.95</v>
      </c>
      <c r="F10" s="7">
        <v>0.95</v>
      </c>
      <c r="G10" s="15">
        <v>2</v>
      </c>
      <c r="H10" s="17">
        <v>2</v>
      </c>
      <c r="I10" s="16">
        <v>0</v>
      </c>
      <c r="K10" s="7"/>
      <c r="L10" s="46">
        <v>479983</v>
      </c>
      <c r="M10">
        <v>5.0000000000000001E-3</v>
      </c>
      <c r="N10">
        <f>(L7*L8+M7*M8)/(0.005*L2)</f>
        <v>1.4517185280000005</v>
      </c>
      <c r="O10">
        <f>N10/L10</f>
        <v>3.0245207184421122E-6</v>
      </c>
      <c r="P10">
        <f>O10*100</f>
        <v>3.0245207184421123E-4</v>
      </c>
    </row>
    <row r="11" spans="1:22" x14ac:dyDescent="0.25">
      <c r="A11" s="21" t="s">
        <v>46</v>
      </c>
      <c r="B11" s="57" t="s">
        <v>47</v>
      </c>
      <c r="C11" s="7">
        <v>1</v>
      </c>
      <c r="D11" s="7">
        <v>0.99</v>
      </c>
      <c r="E11" s="7">
        <v>0.99</v>
      </c>
      <c r="F11" s="7">
        <v>0.99</v>
      </c>
      <c r="G11" s="15">
        <v>2</v>
      </c>
      <c r="H11" s="17">
        <v>2</v>
      </c>
      <c r="I11" s="16">
        <v>0</v>
      </c>
      <c r="K11" s="7"/>
      <c r="L11" s="46"/>
    </row>
    <row r="12" spans="1:22" x14ac:dyDescent="0.25">
      <c r="A12" s="21" t="s">
        <v>31</v>
      </c>
      <c r="B12" s="5" t="s">
        <v>33</v>
      </c>
      <c r="C12" s="12">
        <v>1.9271</v>
      </c>
      <c r="D12" s="12">
        <v>2400</v>
      </c>
      <c r="E12" s="12">
        <v>2400</v>
      </c>
      <c r="F12" s="12">
        <v>2400</v>
      </c>
      <c r="G12" s="15">
        <v>1</v>
      </c>
      <c r="H12" s="17">
        <v>2</v>
      </c>
      <c r="I12" s="16">
        <v>0</v>
      </c>
      <c r="J12" s="3"/>
      <c r="K12" s="12"/>
      <c r="L12" s="44"/>
    </row>
    <row r="13" spans="1:22" x14ac:dyDescent="0.25">
      <c r="A13" s="21" t="s">
        <v>29</v>
      </c>
      <c r="B13" s="5" t="s">
        <v>34</v>
      </c>
      <c r="C13" s="12">
        <v>1.9271</v>
      </c>
      <c r="D13" s="12">
        <v>5000</v>
      </c>
      <c r="E13" s="12">
        <v>5000</v>
      </c>
      <c r="F13" s="12">
        <v>5000</v>
      </c>
      <c r="G13" s="15">
        <v>1</v>
      </c>
      <c r="H13" s="17">
        <v>2</v>
      </c>
      <c r="I13" s="16">
        <v>0</v>
      </c>
      <c r="K13" s="12"/>
      <c r="L13" s="44"/>
      <c r="M13">
        <f>L7/L2</f>
        <v>3.6457200000000002E-2</v>
      </c>
      <c r="N13">
        <f>M7/L2</f>
        <v>2.3542800000000003E-2</v>
      </c>
      <c r="O13">
        <f>1-(M13+N13)</f>
        <v>0.94</v>
      </c>
    </row>
    <row r="14" spans="1:22" x14ac:dyDescent="0.25">
      <c r="A14" s="21" t="s">
        <v>30</v>
      </c>
      <c r="B14" s="5" t="s">
        <v>35</v>
      </c>
      <c r="C14" s="7">
        <v>4000</v>
      </c>
      <c r="D14" s="34">
        <v>4000</v>
      </c>
      <c r="E14" s="7">
        <v>4000</v>
      </c>
      <c r="F14" s="7">
        <v>4000</v>
      </c>
      <c r="G14" s="15">
        <v>1</v>
      </c>
      <c r="H14" s="17">
        <v>2</v>
      </c>
      <c r="I14" s="16">
        <v>0</v>
      </c>
      <c r="K14" s="7"/>
      <c r="L14" s="46"/>
      <c r="M14" s="3"/>
    </row>
    <row r="15" spans="1:22" x14ac:dyDescent="0.25">
      <c r="A15" s="21" t="s">
        <v>32</v>
      </c>
      <c r="B15" s="5" t="s">
        <v>36</v>
      </c>
      <c r="C15" s="7">
        <v>100000</v>
      </c>
      <c r="D15" s="7">
        <v>100000</v>
      </c>
      <c r="E15" s="7">
        <v>100000</v>
      </c>
      <c r="F15" s="7">
        <v>100000</v>
      </c>
      <c r="G15" s="15">
        <v>1</v>
      </c>
      <c r="H15" s="17">
        <v>2</v>
      </c>
      <c r="I15" s="16">
        <v>0</v>
      </c>
      <c r="K15" s="7"/>
      <c r="L15" s="46"/>
      <c r="M15">
        <f>(M13*L8+N13*M8)</f>
        <v>7.2585926400000004E-3</v>
      </c>
    </row>
    <row r="16" spans="1:22" x14ac:dyDescent="0.25">
      <c r="A16" s="21" t="s">
        <v>64</v>
      </c>
      <c r="B16" s="5" t="s">
        <v>37</v>
      </c>
      <c r="C16" s="8">
        <v>2500</v>
      </c>
      <c r="D16" s="33">
        <v>2500</v>
      </c>
      <c r="E16" s="8">
        <v>2500</v>
      </c>
      <c r="F16" s="8">
        <v>2500</v>
      </c>
      <c r="G16" s="15">
        <v>1</v>
      </c>
      <c r="H16" s="17">
        <v>2</v>
      </c>
      <c r="I16" s="16">
        <v>0</v>
      </c>
      <c r="J16" s="4"/>
      <c r="K16" s="8"/>
      <c r="L16" s="47"/>
      <c r="M16" s="4"/>
    </row>
    <row r="17" spans="1:13" x14ac:dyDescent="0.25">
      <c r="A17" s="21" t="s">
        <v>95</v>
      </c>
      <c r="B17" s="6" t="s">
        <v>65</v>
      </c>
      <c r="C17" s="8">
        <v>1</v>
      </c>
      <c r="D17" s="8">
        <v>1</v>
      </c>
      <c r="E17" s="8">
        <v>1</v>
      </c>
      <c r="F17" s="8">
        <v>1</v>
      </c>
      <c r="G17" s="15">
        <v>1</v>
      </c>
      <c r="H17" s="17">
        <v>2</v>
      </c>
      <c r="I17" s="16">
        <v>0</v>
      </c>
      <c r="J17" s="4"/>
      <c r="K17" s="8"/>
      <c r="L17" s="47"/>
      <c r="M17" s="4"/>
    </row>
    <row r="18" spans="1:13" x14ac:dyDescent="0.25">
      <c r="A18" s="21" t="s">
        <v>96</v>
      </c>
      <c r="B18" s="6" t="s">
        <v>66</v>
      </c>
      <c r="C18" s="8">
        <v>1</v>
      </c>
      <c r="D18" s="8">
        <v>1</v>
      </c>
      <c r="E18" s="8">
        <v>1</v>
      </c>
      <c r="F18" s="8">
        <v>1</v>
      </c>
      <c r="G18" s="15">
        <v>1</v>
      </c>
      <c r="H18" s="17">
        <v>2</v>
      </c>
      <c r="I18" s="16">
        <v>0</v>
      </c>
      <c r="J18" s="4"/>
      <c r="K18" s="8"/>
      <c r="L18" s="47"/>
      <c r="M18" s="4"/>
    </row>
    <row r="19" spans="1:13" x14ac:dyDescent="0.25">
      <c r="A19" s="21" t="s">
        <v>94</v>
      </c>
      <c r="B19" s="5" t="s">
        <v>63</v>
      </c>
      <c r="C19" s="8">
        <v>2</v>
      </c>
      <c r="D19" s="8">
        <v>2</v>
      </c>
      <c r="E19" s="8">
        <v>2</v>
      </c>
      <c r="F19" s="8">
        <v>2</v>
      </c>
      <c r="G19" s="15">
        <v>1</v>
      </c>
      <c r="H19" s="17">
        <v>2</v>
      </c>
      <c r="I19" s="16">
        <v>0</v>
      </c>
      <c r="J19" s="4"/>
      <c r="K19" s="8"/>
      <c r="L19" s="47"/>
      <c r="M19" s="4"/>
    </row>
    <row r="20" spans="1:13" x14ac:dyDescent="0.25">
      <c r="A20" s="22" t="s">
        <v>22</v>
      </c>
      <c r="B20" s="57" t="s">
        <v>23</v>
      </c>
      <c r="C20" s="7">
        <v>0.25600000000000001</v>
      </c>
      <c r="D20" s="7">
        <v>0.25600000000000001</v>
      </c>
      <c r="E20" s="7">
        <v>0.25600000000000001</v>
      </c>
      <c r="F20" s="7">
        <v>0.25600000000000001</v>
      </c>
      <c r="G20" s="15">
        <v>2</v>
      </c>
      <c r="H20" s="17">
        <v>0</v>
      </c>
      <c r="I20" s="16">
        <v>0</v>
      </c>
      <c r="K20" s="7"/>
      <c r="L20" s="46"/>
    </row>
    <row r="21" spans="1:13" x14ac:dyDescent="0.25">
      <c r="A21" s="22" t="s">
        <v>24</v>
      </c>
      <c r="B21" s="57" t="s">
        <v>25</v>
      </c>
      <c r="C21" s="7">
        <v>0.123</v>
      </c>
      <c r="D21" s="7">
        <v>0.123</v>
      </c>
      <c r="E21" s="7">
        <v>0.123</v>
      </c>
      <c r="F21" s="7">
        <v>0.123</v>
      </c>
      <c r="G21" s="15">
        <v>2</v>
      </c>
      <c r="H21" s="17">
        <v>0</v>
      </c>
      <c r="I21" s="16">
        <v>0</v>
      </c>
      <c r="K21" s="7"/>
      <c r="L21" s="46"/>
    </row>
    <row r="22" spans="1:13" x14ac:dyDescent="0.25">
      <c r="A22" s="22" t="s">
        <v>68</v>
      </c>
      <c r="B22" s="57" t="s">
        <v>69</v>
      </c>
      <c r="C22" s="7">
        <v>0.17</v>
      </c>
      <c r="D22" s="7">
        <v>0.17</v>
      </c>
      <c r="E22" s="7">
        <v>0.17</v>
      </c>
      <c r="F22" s="7">
        <v>0.17</v>
      </c>
      <c r="G22" s="15">
        <v>2</v>
      </c>
      <c r="H22" s="17">
        <v>0</v>
      </c>
      <c r="I22" s="16">
        <v>0</v>
      </c>
      <c r="K22" s="7"/>
      <c r="L22" s="46"/>
    </row>
    <row r="23" spans="1:13" x14ac:dyDescent="0.25">
      <c r="A23" s="22" t="s">
        <v>67</v>
      </c>
      <c r="B23" s="57" t="s">
        <v>26</v>
      </c>
      <c r="C23" s="7">
        <v>0.155</v>
      </c>
      <c r="D23" s="7">
        <v>0.155</v>
      </c>
      <c r="E23" s="7">
        <v>0.155</v>
      </c>
      <c r="F23" s="7">
        <v>0.155</v>
      </c>
      <c r="G23" s="15">
        <v>2</v>
      </c>
      <c r="H23" s="17">
        <v>0</v>
      </c>
      <c r="I23" s="16">
        <v>0</v>
      </c>
      <c r="K23" s="7"/>
      <c r="L23" s="46"/>
    </row>
    <row r="24" spans="1:13" x14ac:dyDescent="0.25">
      <c r="A24" s="22" t="s">
        <v>40</v>
      </c>
      <c r="B24" s="57" t="s">
        <v>50</v>
      </c>
      <c r="C24" s="7">
        <v>0.88</v>
      </c>
      <c r="D24" s="7">
        <v>0.88</v>
      </c>
      <c r="E24" s="7">
        <v>0.88</v>
      </c>
      <c r="F24" s="7">
        <v>0.88</v>
      </c>
      <c r="G24" s="15">
        <v>2</v>
      </c>
      <c r="H24" s="17">
        <v>0</v>
      </c>
      <c r="I24" s="16">
        <v>0</v>
      </c>
      <c r="K24" s="7"/>
      <c r="L24" s="46"/>
    </row>
    <row r="25" spans="1:13" x14ac:dyDescent="0.25">
      <c r="A25" s="22" t="s">
        <v>38</v>
      </c>
      <c r="B25" s="57" t="s">
        <v>51</v>
      </c>
      <c r="C25" s="7">
        <v>0.8</v>
      </c>
      <c r="D25" s="7">
        <v>0.8</v>
      </c>
      <c r="E25" s="7">
        <v>0.8</v>
      </c>
      <c r="F25" s="7">
        <v>0.8</v>
      </c>
      <c r="G25" s="15">
        <v>2</v>
      </c>
      <c r="H25" s="17">
        <v>0</v>
      </c>
      <c r="I25" s="16">
        <v>0</v>
      </c>
      <c r="K25" s="7"/>
      <c r="L25" s="46"/>
    </row>
    <row r="26" spans="1:13" x14ac:dyDescent="0.25">
      <c r="A26" s="22" t="s">
        <v>39</v>
      </c>
      <c r="B26" s="57" t="s">
        <v>52</v>
      </c>
      <c r="C26" s="7">
        <v>0.97</v>
      </c>
      <c r="D26" s="7">
        <v>0.97</v>
      </c>
      <c r="E26" s="7">
        <v>0.97</v>
      </c>
      <c r="F26" s="7">
        <v>0.97</v>
      </c>
      <c r="G26" s="15">
        <v>2</v>
      </c>
      <c r="H26" s="17">
        <v>0</v>
      </c>
      <c r="I26" s="16">
        <v>0</v>
      </c>
      <c r="K26" s="7"/>
      <c r="L26" s="46"/>
    </row>
    <row r="27" spans="1:13" x14ac:dyDescent="0.25">
      <c r="A27" s="22" t="s">
        <v>27</v>
      </c>
      <c r="B27" s="57" t="s">
        <v>28</v>
      </c>
      <c r="C27" s="7">
        <v>10</v>
      </c>
      <c r="D27" s="7">
        <v>10</v>
      </c>
      <c r="E27" s="7">
        <v>10</v>
      </c>
      <c r="F27" s="7">
        <v>10</v>
      </c>
      <c r="G27" s="15">
        <v>3</v>
      </c>
      <c r="H27" s="17">
        <v>0</v>
      </c>
      <c r="I27" s="16">
        <v>0</v>
      </c>
      <c r="K27" s="7"/>
      <c r="L27" s="46"/>
    </row>
    <row r="28" spans="1:13" x14ac:dyDescent="0.25">
      <c r="A28" s="22" t="s">
        <v>53</v>
      </c>
      <c r="B28" s="57" t="s">
        <v>55</v>
      </c>
      <c r="C28" s="7">
        <v>0.86</v>
      </c>
      <c r="D28" s="7">
        <v>0.86</v>
      </c>
      <c r="E28" s="7">
        <v>0.86</v>
      </c>
      <c r="F28" s="7">
        <v>0.86</v>
      </c>
      <c r="G28" s="15">
        <v>2</v>
      </c>
      <c r="H28" s="17">
        <v>0</v>
      </c>
      <c r="I28" s="16">
        <v>0</v>
      </c>
      <c r="J28" s="3"/>
      <c r="K28" s="7"/>
      <c r="L28" s="46"/>
    </row>
    <row r="29" spans="1:13" x14ac:dyDescent="0.25">
      <c r="A29" s="22" t="s">
        <v>54</v>
      </c>
      <c r="B29" s="57" t="s">
        <v>56</v>
      </c>
      <c r="C29" s="7">
        <v>0.99</v>
      </c>
      <c r="D29" s="7">
        <v>0.99</v>
      </c>
      <c r="E29" s="7">
        <v>0.99</v>
      </c>
      <c r="F29" s="7">
        <v>0.99</v>
      </c>
      <c r="G29" s="15">
        <v>2</v>
      </c>
      <c r="H29" s="17">
        <v>0</v>
      </c>
      <c r="I29" s="16">
        <v>0</v>
      </c>
      <c r="J29" s="3"/>
      <c r="K29" s="7"/>
      <c r="L29" s="46"/>
    </row>
    <row r="30" spans="1:13" x14ac:dyDescent="0.25">
      <c r="A30" s="11" t="s">
        <v>57</v>
      </c>
      <c r="B30" s="5" t="s">
        <v>58</v>
      </c>
      <c r="C30" s="7">
        <v>0.05</v>
      </c>
      <c r="D30" s="7">
        <v>0.05</v>
      </c>
      <c r="E30" s="7">
        <v>0.05</v>
      </c>
      <c r="F30" s="7">
        <v>0.05</v>
      </c>
      <c r="G30" s="15">
        <v>2</v>
      </c>
      <c r="H30" s="17">
        <v>0</v>
      </c>
      <c r="I30" s="16">
        <v>0</v>
      </c>
      <c r="J30" s="3"/>
      <c r="K30" s="7"/>
      <c r="L30" s="46"/>
    </row>
    <row r="31" spans="1:13" x14ac:dyDescent="0.25">
      <c r="A31" s="11" t="s">
        <v>59</v>
      </c>
      <c r="B31" s="57" t="s">
        <v>60</v>
      </c>
      <c r="C31" s="7">
        <v>0.30499999999999999</v>
      </c>
      <c r="D31" s="7">
        <v>0.30499999999999999</v>
      </c>
      <c r="E31" s="7">
        <v>0.30499999999999999</v>
      </c>
      <c r="F31" s="7">
        <v>0.30499999999999999</v>
      </c>
      <c r="G31" s="15">
        <v>2</v>
      </c>
      <c r="H31" s="17">
        <v>0</v>
      </c>
      <c r="I31" s="16">
        <v>0</v>
      </c>
      <c r="J31" s="3"/>
      <c r="K31" s="7"/>
      <c r="L31" s="46"/>
    </row>
    <row r="32" spans="1:13" x14ac:dyDescent="0.25">
      <c r="A32" s="11" t="s">
        <v>71</v>
      </c>
      <c r="B32" s="5" t="s">
        <v>70</v>
      </c>
      <c r="C32" s="7">
        <v>77.5</v>
      </c>
      <c r="D32" s="7">
        <v>77.5</v>
      </c>
      <c r="E32" s="7">
        <v>77.5</v>
      </c>
      <c r="F32" s="7">
        <v>77.5</v>
      </c>
      <c r="G32" s="15">
        <v>2</v>
      </c>
      <c r="H32" s="17">
        <v>0</v>
      </c>
      <c r="I32" s="16">
        <v>0</v>
      </c>
      <c r="J32" s="3"/>
      <c r="K32" s="7"/>
      <c r="L32" s="46"/>
    </row>
    <row r="33" spans="1:12" x14ac:dyDescent="0.25">
      <c r="A33" s="11" t="s">
        <v>61</v>
      </c>
      <c r="B33" s="57" t="s">
        <v>62</v>
      </c>
      <c r="C33" s="7">
        <v>5</v>
      </c>
      <c r="D33" s="7">
        <v>5</v>
      </c>
      <c r="E33" s="7">
        <v>5</v>
      </c>
      <c r="F33" s="7">
        <v>5</v>
      </c>
      <c r="G33" s="15">
        <v>1</v>
      </c>
      <c r="H33" s="17">
        <v>0</v>
      </c>
      <c r="I33" s="16">
        <v>0</v>
      </c>
      <c r="J33" s="3"/>
      <c r="K33" s="7"/>
      <c r="L33" s="46"/>
    </row>
    <row r="34" spans="1:12" x14ac:dyDescent="0.25">
      <c r="A34" s="11" t="s">
        <v>76</v>
      </c>
      <c r="B34" s="57" t="s">
        <v>83</v>
      </c>
      <c r="C34" s="7">
        <v>0.22</v>
      </c>
      <c r="D34" s="7">
        <v>0.22</v>
      </c>
      <c r="E34" s="7">
        <v>0.22</v>
      </c>
      <c r="F34" s="7">
        <v>0.22</v>
      </c>
      <c r="G34" s="15">
        <v>2</v>
      </c>
      <c r="H34" s="17">
        <v>0</v>
      </c>
      <c r="I34" s="16">
        <v>0</v>
      </c>
      <c r="K34" s="7"/>
      <c r="L34" s="46"/>
    </row>
    <row r="35" spans="1:12" x14ac:dyDescent="0.25">
      <c r="A35" s="11" t="s">
        <v>77</v>
      </c>
      <c r="B35" s="57" t="s">
        <v>82</v>
      </c>
      <c r="C35" s="7">
        <v>7.4999999999999997E-2</v>
      </c>
      <c r="D35" s="7">
        <v>7.4999999999999997E-2</v>
      </c>
      <c r="E35" s="7">
        <v>7.4999999999999997E-2</v>
      </c>
      <c r="F35" s="7">
        <v>7.4999999999999997E-2</v>
      </c>
      <c r="G35" s="15">
        <v>2</v>
      </c>
      <c r="H35" s="17">
        <v>0</v>
      </c>
      <c r="I35" s="16">
        <v>0</v>
      </c>
      <c r="K35" s="7"/>
      <c r="L35" s="46"/>
    </row>
    <row r="36" spans="1:12" x14ac:dyDescent="0.25">
      <c r="A36" s="11"/>
      <c r="B36" s="5"/>
      <c r="C36" s="7"/>
      <c r="D36" s="7"/>
      <c r="E36" s="7"/>
      <c r="F36" s="7"/>
      <c r="G36" s="15"/>
      <c r="H36" s="17"/>
      <c r="I36" s="16"/>
      <c r="K36" s="7"/>
      <c r="L36" s="46"/>
    </row>
    <row r="37" spans="1:12" x14ac:dyDescent="0.25">
      <c r="A37" s="11"/>
      <c r="B37" s="5"/>
      <c r="C37" s="7"/>
      <c r="D37" s="7"/>
      <c r="E37" s="7"/>
      <c r="F37" s="7"/>
      <c r="G37" s="15"/>
      <c r="H37" s="17"/>
      <c r="I37" s="16"/>
      <c r="K37" s="7"/>
      <c r="L37" s="46"/>
    </row>
    <row r="38" spans="1:12" x14ac:dyDescent="0.25">
      <c r="A38" s="11"/>
      <c r="B38" s="5"/>
      <c r="C38" s="7"/>
      <c r="D38" s="7"/>
      <c r="E38" s="7"/>
      <c r="F38" s="7"/>
      <c r="G38" s="15"/>
      <c r="H38" s="17"/>
      <c r="I38" s="16"/>
      <c r="K38" s="7"/>
      <c r="L38" s="46"/>
    </row>
    <row r="39" spans="1:12" x14ac:dyDescent="0.25">
      <c r="A39" s="11"/>
      <c r="B39" s="5"/>
      <c r="C39" s="7"/>
      <c r="D39" s="7"/>
      <c r="E39" s="7"/>
      <c r="F39" s="7"/>
      <c r="G39" s="15"/>
      <c r="H39" s="17"/>
      <c r="I39" s="16"/>
      <c r="K39" s="7"/>
      <c r="L39" s="46"/>
    </row>
    <row r="40" spans="1:12" x14ac:dyDescent="0.25">
      <c r="A40" s="11"/>
      <c r="B40" s="5"/>
      <c r="C40" s="7"/>
      <c r="D40" s="7"/>
      <c r="E40" s="7"/>
      <c r="F40" s="7"/>
      <c r="G40" s="15"/>
      <c r="H40" s="17"/>
      <c r="I40" s="16"/>
      <c r="K40" s="7"/>
      <c r="L40" s="46"/>
    </row>
    <row r="41" spans="1:12" x14ac:dyDescent="0.25">
      <c r="A41" s="11"/>
      <c r="B41" s="5"/>
      <c r="C41" s="7"/>
      <c r="D41" s="7"/>
      <c r="E41" s="7"/>
      <c r="F41" s="7"/>
      <c r="G41" s="15"/>
      <c r="H41" s="17"/>
      <c r="I41" s="16"/>
      <c r="K41" s="7"/>
      <c r="L41" s="46"/>
    </row>
    <row r="42" spans="1:12" x14ac:dyDescent="0.25">
      <c r="A42" s="11"/>
      <c r="B42" s="5"/>
      <c r="C42" s="7"/>
      <c r="D42" s="7"/>
      <c r="E42" s="7"/>
      <c r="F42" s="7"/>
      <c r="G42" s="15"/>
      <c r="H42" s="17"/>
      <c r="I42" s="16"/>
      <c r="K42" s="7"/>
      <c r="L42" s="46"/>
    </row>
    <row r="43" spans="1:12" x14ac:dyDescent="0.25">
      <c r="A43" s="11"/>
      <c r="B43" s="5"/>
      <c r="C43" s="7"/>
      <c r="D43" s="19"/>
      <c r="E43" s="7"/>
      <c r="F43" s="7"/>
      <c r="G43" s="15"/>
      <c r="H43" s="17"/>
      <c r="I43" s="16"/>
      <c r="K43" s="7"/>
      <c r="L43" s="46"/>
    </row>
    <row r="44" spans="1:12" x14ac:dyDescent="0.25">
      <c r="A44" s="11"/>
      <c r="B44" s="5"/>
      <c r="C44" s="7"/>
      <c r="D44" s="7"/>
      <c r="E44" s="7"/>
      <c r="F44" s="7"/>
      <c r="G44" s="15"/>
      <c r="H44" s="17"/>
      <c r="I44" s="16"/>
      <c r="K44" s="7"/>
      <c r="L44" s="46"/>
    </row>
    <row r="45" spans="1:12" x14ac:dyDescent="0.25">
      <c r="A45" s="11"/>
      <c r="B45" s="5"/>
      <c r="C45" s="7"/>
      <c r="D45" s="7"/>
      <c r="E45" s="7"/>
      <c r="F45" s="7"/>
      <c r="G45" s="15"/>
      <c r="H45" s="17"/>
      <c r="I45" s="16"/>
      <c r="K45" s="7"/>
      <c r="L45" s="46"/>
    </row>
    <row r="46" spans="1:12" x14ac:dyDescent="0.25">
      <c r="A46" s="11"/>
      <c r="B46" s="5"/>
      <c r="C46" s="7"/>
      <c r="D46" s="7"/>
      <c r="E46" s="7"/>
      <c r="F46" s="7"/>
      <c r="G46" s="15"/>
      <c r="H46" s="17"/>
      <c r="I46" s="16"/>
      <c r="K46" s="7"/>
      <c r="L46" s="46"/>
    </row>
    <row r="47" spans="1:12" x14ac:dyDescent="0.25">
      <c r="A47" s="11"/>
      <c r="B47" s="5"/>
      <c r="C47" s="7"/>
      <c r="D47" s="7"/>
      <c r="E47" s="7"/>
      <c r="F47" s="7"/>
      <c r="G47" s="15"/>
      <c r="H47" s="17"/>
      <c r="I47" s="16"/>
      <c r="K47" s="7"/>
      <c r="L47" s="46"/>
    </row>
    <row r="48" spans="1:12" x14ac:dyDescent="0.25">
      <c r="A48" s="11"/>
      <c r="B48" s="5"/>
      <c r="C48" s="7"/>
      <c r="D48" s="7"/>
      <c r="E48" s="7"/>
      <c r="F48" s="7"/>
      <c r="G48" s="15"/>
      <c r="H48" s="17"/>
      <c r="I48" s="16"/>
      <c r="K48" s="7"/>
      <c r="L48" s="46"/>
    </row>
    <row r="49" spans="1:12" x14ac:dyDescent="0.25">
      <c r="A49" s="11"/>
      <c r="B49" s="5"/>
      <c r="C49" s="7"/>
      <c r="D49" s="7"/>
      <c r="E49" s="7"/>
      <c r="F49" s="7"/>
      <c r="G49" s="15"/>
      <c r="H49" s="17"/>
      <c r="I49" s="16"/>
      <c r="K49" s="7"/>
      <c r="L49" s="46"/>
    </row>
    <row r="50" spans="1:12" x14ac:dyDescent="0.25">
      <c r="A50" s="11"/>
      <c r="B50" s="6"/>
      <c r="C50" s="7"/>
      <c r="D50" s="7"/>
      <c r="E50" s="7"/>
      <c r="F50" s="7"/>
      <c r="G50" s="15"/>
      <c r="H50" s="17"/>
      <c r="I50" s="16"/>
      <c r="K50" s="7"/>
      <c r="L50" s="46"/>
    </row>
    <row r="51" spans="1:12" x14ac:dyDescent="0.25">
      <c r="A51" s="11"/>
      <c r="B51" s="5"/>
      <c r="C51" s="7"/>
      <c r="D51" s="7"/>
      <c r="E51" s="7"/>
      <c r="F51" s="7"/>
      <c r="G51" s="15"/>
      <c r="H51" s="17"/>
      <c r="I51" s="16"/>
      <c r="K51" s="7"/>
      <c r="L51" s="46"/>
    </row>
    <row r="52" spans="1:12" x14ac:dyDescent="0.25">
      <c r="A52" s="11"/>
      <c r="B52" s="5"/>
      <c r="C52" s="7"/>
      <c r="D52" s="7"/>
      <c r="E52" s="7"/>
      <c r="F52" s="7"/>
      <c r="G52" s="15"/>
      <c r="H52" s="17"/>
      <c r="I52" s="16"/>
      <c r="K52" s="7"/>
      <c r="L52" s="46"/>
    </row>
    <row r="53" spans="1:12" x14ac:dyDescent="0.25">
      <c r="A53" s="11"/>
      <c r="B53" s="5"/>
      <c r="C53" s="7"/>
      <c r="D53" s="7"/>
      <c r="E53" s="7"/>
      <c r="F53" s="7"/>
      <c r="G53" s="15"/>
      <c r="H53" s="17"/>
      <c r="I53" s="16"/>
      <c r="K53" s="7"/>
      <c r="L53" s="46"/>
    </row>
    <row r="54" spans="1:12" x14ac:dyDescent="0.25">
      <c r="A54" s="11"/>
      <c r="B54" s="5"/>
      <c r="C54" s="7"/>
      <c r="D54" s="7"/>
      <c r="E54" s="7"/>
      <c r="F54" s="7"/>
      <c r="G54" s="15"/>
      <c r="H54" s="17"/>
      <c r="I54" s="16"/>
      <c r="K54" s="7"/>
      <c r="L54" s="46"/>
    </row>
    <row r="55" spans="1:12" x14ac:dyDescent="0.25">
      <c r="A55" s="11"/>
      <c r="B55" s="5"/>
      <c r="C55" s="7"/>
      <c r="D55" s="7"/>
      <c r="E55" s="7"/>
      <c r="F55" s="7"/>
      <c r="G55" s="15"/>
      <c r="H55" s="17"/>
      <c r="I55" s="16"/>
      <c r="K55" s="7"/>
      <c r="L55" s="46"/>
    </row>
    <row r="56" spans="1:12" x14ac:dyDescent="0.25">
      <c r="A56" s="11"/>
      <c r="B56" s="5"/>
      <c r="C56" s="7"/>
      <c r="D56" s="7"/>
      <c r="E56" s="7"/>
      <c r="F56" s="7"/>
      <c r="G56" s="15"/>
      <c r="H56" s="17"/>
      <c r="I56" s="16"/>
      <c r="K56" s="7"/>
      <c r="L56" s="46"/>
    </row>
    <row r="57" spans="1:12" x14ac:dyDescent="0.25">
      <c r="A57" s="11"/>
      <c r="B57" s="5"/>
      <c r="C57" s="7"/>
      <c r="D57" s="7"/>
      <c r="E57" s="7"/>
      <c r="F57" s="7"/>
      <c r="G57" s="15"/>
      <c r="H57" s="17"/>
      <c r="I57" s="16"/>
      <c r="K57" s="7"/>
      <c r="L57" s="46"/>
    </row>
    <row r="58" spans="1:12" x14ac:dyDescent="0.25">
      <c r="A58" s="11"/>
      <c r="B58" s="5"/>
      <c r="C58" s="7"/>
      <c r="D58" s="7"/>
      <c r="E58" s="7"/>
      <c r="F58" s="7"/>
      <c r="G58" s="15"/>
      <c r="H58" s="17"/>
      <c r="I58" s="16"/>
      <c r="K58" s="7"/>
      <c r="L58" s="46"/>
    </row>
    <row r="59" spans="1:12" x14ac:dyDescent="0.25">
      <c r="A59" s="11"/>
      <c r="B59" s="5"/>
      <c r="C59" s="7"/>
      <c r="D59" s="7"/>
      <c r="E59" s="7"/>
      <c r="F59" s="7"/>
      <c r="G59" s="15"/>
      <c r="H59" s="17"/>
      <c r="I59" s="16"/>
      <c r="K59" s="7"/>
      <c r="L59" s="46"/>
    </row>
    <row r="60" spans="1:12" x14ac:dyDescent="0.25">
      <c r="A60" s="11"/>
      <c r="B60" s="5"/>
      <c r="C60" s="7"/>
      <c r="D60" s="7"/>
      <c r="E60" s="7"/>
      <c r="F60" s="7"/>
      <c r="G60" s="15"/>
      <c r="H60" s="17"/>
      <c r="I60" s="16"/>
      <c r="K60" s="7"/>
      <c r="L60" s="46"/>
    </row>
    <row r="61" spans="1:12" x14ac:dyDescent="0.25">
      <c r="A61" s="11"/>
      <c r="B61" s="5"/>
      <c r="C61" s="7"/>
      <c r="D61" s="7"/>
      <c r="E61" s="7"/>
      <c r="F61" s="7"/>
      <c r="G61" s="15"/>
      <c r="H61" s="17"/>
      <c r="I61" s="16"/>
      <c r="K61" s="7"/>
      <c r="L61" s="46"/>
    </row>
    <row r="62" spans="1:12" x14ac:dyDescent="0.25">
      <c r="A62" s="11"/>
      <c r="B62" s="5"/>
      <c r="C62" s="7"/>
      <c r="D62" s="7"/>
      <c r="E62" s="7"/>
      <c r="F62" s="7"/>
      <c r="G62" s="15"/>
      <c r="H62" s="17"/>
      <c r="I62" s="16"/>
      <c r="K62" s="7"/>
      <c r="L62" s="46"/>
    </row>
    <row r="63" spans="1:12" x14ac:dyDescent="0.25">
      <c r="A63" s="11"/>
      <c r="B63" s="5"/>
      <c r="C63" s="7"/>
      <c r="D63" s="7"/>
      <c r="E63" s="7"/>
      <c r="F63" s="7"/>
      <c r="G63" s="15"/>
      <c r="H63" s="17"/>
      <c r="I63" s="16"/>
      <c r="K63" s="7"/>
      <c r="L63" s="46"/>
    </row>
    <row r="64" spans="1:12" x14ac:dyDescent="0.25">
      <c r="A64" s="11"/>
      <c r="B64" s="5"/>
      <c r="C64" s="7"/>
      <c r="D64" s="7"/>
      <c r="E64" s="7"/>
      <c r="F64" s="7"/>
      <c r="G64" s="15"/>
      <c r="H64" s="17"/>
      <c r="I64" s="16"/>
      <c r="K64" s="7"/>
      <c r="L64" s="46"/>
    </row>
    <row r="65" spans="1:12" x14ac:dyDescent="0.25">
      <c r="A65" s="11"/>
      <c r="B65" s="5"/>
      <c r="C65" s="7"/>
      <c r="D65" s="7"/>
      <c r="E65" s="7"/>
      <c r="F65" s="7"/>
      <c r="G65" s="15"/>
      <c r="H65" s="17"/>
      <c r="I65" s="16"/>
      <c r="K65" s="7"/>
      <c r="L65" s="46"/>
    </row>
    <row r="66" spans="1:12" x14ac:dyDescent="0.25">
      <c r="A66" s="11"/>
      <c r="B66" s="5"/>
      <c r="C66" s="7"/>
      <c r="D66" s="7"/>
      <c r="E66" s="7"/>
      <c r="F66" s="7"/>
      <c r="G66" s="15"/>
      <c r="H66" s="17"/>
      <c r="I66" s="16"/>
      <c r="K66" s="7"/>
      <c r="L66" s="46"/>
    </row>
    <row r="67" spans="1:12" x14ac:dyDescent="0.25">
      <c r="A67" s="11"/>
      <c r="B67" s="5"/>
      <c r="C67" s="7"/>
      <c r="D67" s="7"/>
      <c r="E67" s="7"/>
      <c r="F67" s="7"/>
      <c r="G67" s="15"/>
      <c r="H67" s="17"/>
      <c r="I67" s="16"/>
      <c r="K67" s="7"/>
      <c r="L67" s="46"/>
    </row>
    <row r="68" spans="1:12" x14ac:dyDescent="0.25">
      <c r="A68" s="11"/>
      <c r="B68" s="5"/>
      <c r="C68" s="7"/>
      <c r="D68" s="7"/>
      <c r="E68" s="7"/>
      <c r="F68" s="7"/>
      <c r="G68" s="15"/>
      <c r="H68" s="17"/>
      <c r="I68" s="16"/>
      <c r="K68" s="7"/>
      <c r="L68" s="46"/>
    </row>
    <row r="69" spans="1:12" x14ac:dyDescent="0.25">
      <c r="A69" s="11"/>
      <c r="B69" s="5"/>
      <c r="C69" s="7"/>
      <c r="D69" s="7"/>
      <c r="E69" s="7"/>
      <c r="F69" s="7"/>
      <c r="G69" s="15"/>
      <c r="H69" s="17"/>
      <c r="I69" s="16"/>
      <c r="K69" s="7"/>
      <c r="L69" s="46"/>
    </row>
    <row r="70" spans="1:12" x14ac:dyDescent="0.25">
      <c r="A70" s="11"/>
      <c r="B70" s="6"/>
      <c r="C70" s="7"/>
      <c r="D70" s="7"/>
      <c r="E70" s="7"/>
      <c r="F70" s="7"/>
      <c r="G70" s="15"/>
      <c r="H70" s="17"/>
      <c r="I70" s="16"/>
      <c r="K70" s="7"/>
      <c r="L70" s="46"/>
    </row>
    <row r="71" spans="1:12" x14ac:dyDescent="0.25">
      <c r="A71" s="11"/>
      <c r="B71" s="5"/>
      <c r="C71" s="7"/>
      <c r="D71" s="7"/>
      <c r="E71" s="7"/>
      <c r="F71" s="7"/>
      <c r="G71" s="15"/>
      <c r="H71" s="17"/>
      <c r="I71" s="16"/>
      <c r="K71" s="7"/>
      <c r="L71" s="46"/>
    </row>
    <row r="72" spans="1:12" x14ac:dyDescent="0.25">
      <c r="A72" s="11"/>
      <c r="B72" s="5"/>
      <c r="C72" s="7"/>
      <c r="D72" s="7"/>
      <c r="E72" s="7"/>
      <c r="F72" s="7"/>
      <c r="G72" s="15"/>
      <c r="H72" s="17"/>
      <c r="I72" s="16"/>
      <c r="K72" s="7"/>
      <c r="L72" s="46"/>
    </row>
    <row r="73" spans="1:12" x14ac:dyDescent="0.25">
      <c r="A73" s="11"/>
      <c r="B73" s="5"/>
      <c r="C73" s="7"/>
      <c r="D73" s="7"/>
      <c r="E73" s="7"/>
      <c r="F73" s="7"/>
      <c r="G73" s="15"/>
      <c r="H73" s="17"/>
      <c r="I73" s="16"/>
      <c r="K73" s="7"/>
      <c r="L73" s="46"/>
    </row>
    <row r="74" spans="1:12" x14ac:dyDescent="0.25">
      <c r="A74" s="11"/>
      <c r="B74" s="5"/>
      <c r="C74" s="7"/>
      <c r="D74" s="7"/>
      <c r="E74" s="7"/>
      <c r="F74" s="7"/>
      <c r="G74" s="15"/>
      <c r="H74" s="17"/>
      <c r="I74" s="16"/>
      <c r="K74" s="7"/>
      <c r="L74" s="46"/>
    </row>
    <row r="75" spans="1:12" x14ac:dyDescent="0.25">
      <c r="A75" s="11"/>
      <c r="B75" s="5"/>
      <c r="C75" s="7"/>
      <c r="D75" s="7"/>
      <c r="E75" s="7"/>
      <c r="F75" s="7"/>
      <c r="G75" s="15"/>
      <c r="H75" s="17"/>
      <c r="I75" s="16"/>
      <c r="K75" s="7"/>
      <c r="L75" s="46"/>
    </row>
    <row r="76" spans="1:12" x14ac:dyDescent="0.25">
      <c r="A76" s="11"/>
      <c r="B76" s="5"/>
      <c r="C76" s="7"/>
      <c r="D76" s="7"/>
      <c r="E76" s="7"/>
      <c r="F76" s="7"/>
      <c r="G76" s="15"/>
      <c r="H76" s="17"/>
      <c r="I76" s="16"/>
      <c r="K76" s="7"/>
      <c r="L76" s="46"/>
    </row>
    <row r="77" spans="1:12" x14ac:dyDescent="0.25">
      <c r="A77" s="11"/>
      <c r="B77" s="5"/>
      <c r="C77" s="7"/>
      <c r="D77" s="7"/>
      <c r="E77" s="7"/>
      <c r="F77" s="7"/>
      <c r="G77" s="15"/>
      <c r="H77" s="17"/>
      <c r="I77" s="16"/>
      <c r="K77" s="7"/>
      <c r="L77" s="46"/>
    </row>
    <row r="78" spans="1:12" x14ac:dyDescent="0.25">
      <c r="A78" s="11"/>
      <c r="B78" s="5"/>
      <c r="C78" s="7"/>
      <c r="D78" s="7"/>
      <c r="E78" s="7"/>
      <c r="F78" s="7"/>
      <c r="G78" s="15"/>
      <c r="H78" s="17"/>
      <c r="I78" s="16"/>
      <c r="K78" s="7"/>
      <c r="L78" s="46"/>
    </row>
    <row r="79" spans="1:12" x14ac:dyDescent="0.25">
      <c r="A79" s="11"/>
      <c r="B79" s="5"/>
      <c r="C79" s="7"/>
      <c r="D79" s="7"/>
      <c r="E79" s="7"/>
      <c r="F79" s="7"/>
      <c r="G79" s="15"/>
      <c r="H79" s="17"/>
      <c r="I79" s="16"/>
      <c r="K79" s="7"/>
      <c r="L79" s="46"/>
    </row>
    <row r="80" spans="1:12" x14ac:dyDescent="0.25">
      <c r="A80" s="11"/>
      <c r="B80" s="5"/>
      <c r="C80" s="7"/>
      <c r="D80" s="7"/>
      <c r="E80" s="7"/>
      <c r="F80" s="7"/>
      <c r="G80" s="15"/>
      <c r="H80" s="17"/>
      <c r="I80" s="16"/>
      <c r="K80" s="7"/>
      <c r="L80" s="46"/>
    </row>
    <row r="81" spans="1:12" x14ac:dyDescent="0.25">
      <c r="A81" s="11"/>
      <c r="B81" s="5"/>
      <c r="C81" s="7"/>
      <c r="D81" s="7"/>
      <c r="E81" s="7"/>
      <c r="F81" s="7"/>
      <c r="G81" s="15"/>
      <c r="H81" s="17"/>
      <c r="I81" s="16"/>
      <c r="K81" s="7"/>
      <c r="L81" s="46"/>
    </row>
    <row r="82" spans="1:12" x14ac:dyDescent="0.25">
      <c r="A82" s="11"/>
      <c r="B82" s="5"/>
      <c r="C82" s="7"/>
      <c r="D82" s="7"/>
      <c r="E82" s="7"/>
      <c r="F82" s="7"/>
      <c r="G82" s="15"/>
      <c r="H82" s="17"/>
      <c r="I82" s="16"/>
      <c r="K82" s="7"/>
      <c r="L82" s="46"/>
    </row>
    <row r="83" spans="1:12" x14ac:dyDescent="0.25">
      <c r="A83" s="11"/>
      <c r="B83" s="5"/>
      <c r="C83" s="7"/>
      <c r="D83" s="7"/>
      <c r="E83" s="7"/>
      <c r="F83" s="7"/>
      <c r="G83" s="15"/>
      <c r="H83" s="17"/>
      <c r="I83" s="16"/>
      <c r="K83" s="7"/>
      <c r="L83" s="46"/>
    </row>
    <row r="84" spans="1:12" x14ac:dyDescent="0.25">
      <c r="A84" s="11"/>
      <c r="B84" s="5"/>
      <c r="C84" s="7"/>
      <c r="D84" s="7"/>
      <c r="E84" s="7"/>
      <c r="F84" s="7"/>
      <c r="G84" s="15"/>
      <c r="H84" s="17"/>
      <c r="I84" s="16"/>
      <c r="K84" s="7"/>
      <c r="L84" s="46"/>
    </row>
    <row r="85" spans="1:12" x14ac:dyDescent="0.25">
      <c r="A85" s="11"/>
      <c r="B85" s="5"/>
      <c r="C85" s="7"/>
      <c r="D85" s="7"/>
      <c r="E85" s="7"/>
      <c r="F85" s="7"/>
      <c r="G85" s="15"/>
      <c r="H85" s="17"/>
      <c r="I85" s="16"/>
      <c r="K85" s="7"/>
      <c r="L85" s="46"/>
    </row>
    <row r="86" spans="1:12" x14ac:dyDescent="0.25">
      <c r="A86" s="11"/>
      <c r="B86" s="5"/>
      <c r="C86" s="7"/>
      <c r="D86" s="7"/>
      <c r="E86" s="7"/>
      <c r="F86" s="7"/>
      <c r="G86" s="15"/>
      <c r="H86" s="17"/>
      <c r="I86" s="16"/>
      <c r="K86" s="7"/>
      <c r="L86" s="46"/>
    </row>
    <row r="87" spans="1:12" x14ac:dyDescent="0.25">
      <c r="A87" s="11"/>
      <c r="B87" s="5"/>
      <c r="C87" s="7"/>
      <c r="D87" s="7"/>
      <c r="E87" s="7"/>
      <c r="F87" s="7"/>
      <c r="G87" s="15"/>
      <c r="H87" s="17"/>
      <c r="I87" s="16"/>
      <c r="K87" s="7"/>
      <c r="L87" s="46"/>
    </row>
    <row r="88" spans="1:12" x14ac:dyDescent="0.25">
      <c r="A88" s="11"/>
      <c r="B88" s="5"/>
      <c r="C88" s="7"/>
      <c r="D88" s="7"/>
      <c r="E88" s="7"/>
      <c r="F88" s="7"/>
      <c r="G88" s="15"/>
      <c r="H88" s="17"/>
      <c r="I88" s="16"/>
      <c r="K88" s="7"/>
      <c r="L88" s="46"/>
    </row>
    <row r="89" spans="1:12" x14ac:dyDescent="0.25">
      <c r="A89" s="11"/>
      <c r="B89" s="5"/>
      <c r="C89" s="7"/>
      <c r="D89" s="7"/>
      <c r="E89" s="7"/>
      <c r="F89" s="7"/>
      <c r="G89" s="15"/>
      <c r="H89" s="17"/>
      <c r="I89" s="16"/>
      <c r="K89" s="7"/>
      <c r="L89" s="46"/>
    </row>
    <row r="90" spans="1:12" x14ac:dyDescent="0.25">
      <c r="A90" s="11"/>
      <c r="B90" s="5"/>
      <c r="C90" s="7"/>
      <c r="D90" s="7"/>
      <c r="E90" s="7"/>
      <c r="F90" s="7"/>
      <c r="G90" s="15"/>
      <c r="H90" s="17"/>
      <c r="I90" s="16"/>
      <c r="K90" s="7"/>
      <c r="L90" s="46"/>
    </row>
    <row r="91" spans="1:12" x14ac:dyDescent="0.25">
      <c r="A91" s="11"/>
      <c r="B91" s="5"/>
      <c r="C91" s="7"/>
      <c r="D91" s="7"/>
      <c r="E91" s="7"/>
      <c r="F91" s="7"/>
      <c r="G91" s="15"/>
      <c r="H91" s="17"/>
      <c r="I91" s="16"/>
      <c r="K91" s="7"/>
      <c r="L91" s="46"/>
    </row>
    <row r="92" spans="1:12" x14ac:dyDescent="0.25">
      <c r="A92" s="11"/>
      <c r="B92" s="2"/>
      <c r="C92" s="20"/>
      <c r="D92" s="2"/>
      <c r="E92" s="20"/>
      <c r="F92" s="20"/>
      <c r="G92" s="15"/>
      <c r="H92" s="17"/>
      <c r="I92" s="16"/>
      <c r="K92" s="20"/>
      <c r="L92" s="48"/>
    </row>
    <row r="93" spans="1:12" x14ac:dyDescent="0.25">
      <c r="A93" s="11"/>
      <c r="B93" s="2"/>
      <c r="C93" s="2"/>
      <c r="D93" s="20"/>
      <c r="E93" s="20"/>
      <c r="F93" s="20"/>
      <c r="G93" s="15"/>
      <c r="H93" s="17"/>
      <c r="I93" s="16"/>
      <c r="K93" s="2"/>
      <c r="L93" s="49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85D1-E351-42CA-9052-D2CD590C6DC7}">
  <dimension ref="D1:S83"/>
  <sheetViews>
    <sheetView workbookViewId="0">
      <selection activeCell="M21" sqref="M21"/>
    </sheetView>
  </sheetViews>
  <sheetFormatPr baseColWidth="10" defaultRowHeight="15" x14ac:dyDescent="0.25"/>
  <cols>
    <col min="13" max="13" width="24.28515625" customWidth="1"/>
  </cols>
  <sheetData>
    <row r="1" spans="4:19" x14ac:dyDescent="0.25">
      <c r="E1">
        <v>1</v>
      </c>
      <c r="F1">
        <v>0.5</v>
      </c>
      <c r="G1">
        <v>0.5</v>
      </c>
      <c r="H1">
        <v>0.5</v>
      </c>
      <c r="I1">
        <v>0.5</v>
      </c>
      <c r="J1">
        <v>0.5</v>
      </c>
      <c r="L1">
        <v>77</v>
      </c>
      <c r="M1">
        <v>77.5</v>
      </c>
      <c r="N1">
        <v>77.5</v>
      </c>
      <c r="O1">
        <v>77</v>
      </c>
      <c r="P1">
        <v>77</v>
      </c>
      <c r="Q1">
        <v>77</v>
      </c>
    </row>
    <row r="2" spans="4:19" x14ac:dyDescent="0.25">
      <c r="E2">
        <v>0</v>
      </c>
      <c r="F2">
        <v>0</v>
      </c>
      <c r="G2">
        <v>1</v>
      </c>
      <c r="H2">
        <v>2</v>
      </c>
      <c r="I2">
        <v>3</v>
      </c>
      <c r="J2">
        <v>4</v>
      </c>
    </row>
    <row r="4" spans="4:19" x14ac:dyDescent="0.25">
      <c r="E4">
        <f>SUM(E6:E82)</f>
        <v>20.509495194717736</v>
      </c>
      <c r="F4">
        <f t="shared" ref="F4:J4" si="0">SUM(F6:F82)</f>
        <v>20.009495194717733</v>
      </c>
      <c r="G4">
        <f>SUM(G6:G82)</f>
        <v>19.033304718527251</v>
      </c>
      <c r="H4">
        <f t="shared" si="0"/>
        <v>18.103599503107755</v>
      </c>
      <c r="I4">
        <f t="shared" si="0"/>
        <v>17.218165964612997</v>
      </c>
      <c r="J4">
        <f t="shared" si="0"/>
        <v>16.374895927951318</v>
      </c>
      <c r="L4">
        <f>$E$1 + ($E$1 * (1 - (1 + $E$5) ^ (- (L$1 - 1))) / $E$5)</f>
        <v>20.509495194717736</v>
      </c>
      <c r="M4">
        <f>$F$1 + ($E$1 * (1 - (1 + $E$5) ^ (- (M$1 - 1))) / $E$5)</f>
        <v>20.021316324743434</v>
      </c>
      <c r="N4">
        <f>($F$1/(1+$E$5)^$D$7) + (E7* (1 - (1 + $E$5) ^ (- (N$1 - 2))) / $E$5)</f>
        <v>19.045125848552953</v>
      </c>
      <c r="O4">
        <f>(G$1/(1+$E$5)^$D$8) + (F8* (1 - (1 + $E$5) ^ (- (O$1 - 3))) / $E$5)</f>
        <v>18.103599503107755</v>
      </c>
      <c r="Q4">
        <f>F4-G4</f>
        <v>0.9761904761904816</v>
      </c>
      <c r="R4">
        <f t="shared" ref="R4:S4" si="1">G4-H4</f>
        <v>0.9297052154194958</v>
      </c>
      <c r="S4">
        <f t="shared" si="1"/>
        <v>0.88543353849475892</v>
      </c>
    </row>
    <row r="5" spans="4:19" x14ac:dyDescent="0.25">
      <c r="E5">
        <v>0.05</v>
      </c>
      <c r="L5">
        <v>1</v>
      </c>
      <c r="M5">
        <v>1</v>
      </c>
      <c r="N5">
        <v>2</v>
      </c>
      <c r="O5">
        <v>3</v>
      </c>
      <c r="P5">
        <v>4</v>
      </c>
      <c r="Q5">
        <v>5</v>
      </c>
    </row>
    <row r="6" spans="4:19" x14ac:dyDescent="0.25">
      <c r="D6">
        <v>0</v>
      </c>
      <c r="E6">
        <f>$E$1/POWER((1+$E$5),D6)</f>
        <v>1</v>
      </c>
      <c r="F6">
        <v>0.5</v>
      </c>
    </row>
    <row r="7" spans="4:19" x14ac:dyDescent="0.25">
      <c r="D7">
        <v>1</v>
      </c>
      <c r="E7">
        <f t="shared" ref="E7:F27" si="2">$E$1/POWER((1+$E$5),D7)</f>
        <v>0.95238095238095233</v>
      </c>
      <c r="F7">
        <f>$E$1/POWER((1+$E$5),$D7)</f>
        <v>0.95238095238095233</v>
      </c>
      <c r="G7">
        <f>$E$1*0.5/POWER((1+$E$5),$D7)</f>
        <v>0.47619047619047616</v>
      </c>
    </row>
    <row r="8" spans="4:19" x14ac:dyDescent="0.25">
      <c r="D8">
        <v>2</v>
      </c>
      <c r="E8">
        <f t="shared" si="2"/>
        <v>0.90702947845804982</v>
      </c>
      <c r="F8">
        <f t="shared" ref="F8:J71" si="3">$E$1/POWER((1+$E$5),$D8)</f>
        <v>0.90702947845804982</v>
      </c>
      <c r="G8">
        <f>$E$1/POWER((1+$E$5),$D8)</f>
        <v>0.90702947845804982</v>
      </c>
      <c r="H8">
        <f>$E$1*0.5/POWER((1+$E$5),$D8)</f>
        <v>0.45351473922902491</v>
      </c>
    </row>
    <row r="9" spans="4:19" x14ac:dyDescent="0.25">
      <c r="D9">
        <v>3</v>
      </c>
      <c r="E9">
        <f t="shared" si="2"/>
        <v>0.86383759853147601</v>
      </c>
      <c r="F9">
        <f t="shared" si="3"/>
        <v>0.86383759853147601</v>
      </c>
      <c r="G9">
        <f t="shared" si="3"/>
        <v>0.86383759853147601</v>
      </c>
      <c r="H9">
        <f>$E$1/POWER((1+$E$5),$D9)</f>
        <v>0.86383759853147601</v>
      </c>
      <c r="I9">
        <f>$E$1*0.5/POWER((1+$E$5),$D9)</f>
        <v>0.43191879926573801</v>
      </c>
      <c r="L9">
        <f>(($E$1)/((1+$E$5)^(L5-1)))   +(($E$1/((1+$E$5)^(L5-1)))*(1-(1+$E$5)^(-(L1-(L5))))/$E$5)</f>
        <v>20.509495194717736</v>
      </c>
      <c r="M9">
        <f t="shared" ref="L9:M9" si="4">(($E$1*0.5)/((1+$E$5)^(M5-1)))   +(($E$1/((1+$E$5)^(M5-1)))*(1-(1+$E$5)^(-(M1-(M5))))/$E$5)</f>
        <v>20.021316324743434</v>
      </c>
      <c r="N9">
        <f>(($E$1*0.5)/((1+$E$5)^(N5-1)))   +(($E$1/((1+$E$5)^(N5-1)))*(1-(1+$E$5)^-(N1-N5))/$E$5)</f>
        <v>19.045125848552953</v>
      </c>
      <c r="O9">
        <f t="shared" ref="O9:Q9" si="5">(($E$1*0.5)/((1+$E$5)^(O5-1)))   +(($E$1/((1+$E$5)^(O5-1)))*(1-(1+$E$5)^(-(O1-(O5))))/$E$5)</f>
        <v>18.103599503107755</v>
      </c>
      <c r="P9">
        <f t="shared" si="5"/>
        <v>17.218165964612993</v>
      </c>
      <c r="Q9">
        <f t="shared" si="5"/>
        <v>16.374895927951318</v>
      </c>
      <c r="S9">
        <f xml:space="preserve">      (F1 / ((1 + $E$5) ^ (M5 - 1))) +
      ($E$1 / ((1 + $E$5) ^ (M5 - 1)) * (1 - (1 + $E$5) ^ -(N1 - M5)) / $E$5)</f>
        <v>20.021316324743434</v>
      </c>
    </row>
    <row r="10" spans="4:19" x14ac:dyDescent="0.25">
      <c r="D10">
        <v>4</v>
      </c>
      <c r="E10">
        <f t="shared" si="2"/>
        <v>0.82270247479188197</v>
      </c>
      <c r="F10">
        <f t="shared" si="3"/>
        <v>0.82270247479188197</v>
      </c>
      <c r="G10">
        <f t="shared" si="3"/>
        <v>0.82270247479188197</v>
      </c>
      <c r="H10">
        <f t="shared" si="3"/>
        <v>0.82270247479188197</v>
      </c>
      <c r="I10">
        <f>$E$1/POWER((1+$E$5),$D10)</f>
        <v>0.82270247479188197</v>
      </c>
      <c r="J10">
        <f>$E$1*0.5/POWER((1+$E$5),$D10)</f>
        <v>0.41135123739594098</v>
      </c>
      <c r="M10">
        <f>$E$1/(1+$E$5)^(M5-0.5)*(0.5+(1-(1+$E$5)^(-(M1-(M5-0.5))/(1+$E$5))))</f>
        <v>1.4365902621273303</v>
      </c>
    </row>
    <row r="11" spans="4:19" x14ac:dyDescent="0.25">
      <c r="D11">
        <v>5</v>
      </c>
      <c r="E11">
        <f t="shared" si="2"/>
        <v>0.78352616646845896</v>
      </c>
      <c r="F11">
        <f t="shared" si="3"/>
        <v>0.78352616646845896</v>
      </c>
      <c r="G11">
        <f t="shared" si="3"/>
        <v>0.78352616646845896</v>
      </c>
      <c r="H11">
        <f t="shared" si="3"/>
        <v>0.78352616646845896</v>
      </c>
      <c r="I11">
        <f t="shared" si="3"/>
        <v>0.78352616646845896</v>
      </c>
      <c r="J11">
        <f>$E$1/POWER((1+$E$5),$D11)</f>
        <v>0.78352616646845896</v>
      </c>
      <c r="M11" t="e" cm="1" vm="1">
        <f t="array" ref="M11" xml:space="preserve"> ($E$1 / (1+$E$5)^( M5 -_FV( 0,"5") ) ) *  (_FV( 0,"5") + (1 - (1+$E$5)^(-( M$1 - (M5 -_FV( 0,"5")) ))) / $E$5 )</f>
        <v>#VALUE!</v>
      </c>
    </row>
    <row r="12" spans="4:19" x14ac:dyDescent="0.25">
      <c r="D12">
        <v>6</v>
      </c>
      <c r="E12">
        <f t="shared" si="2"/>
        <v>0.74621539663662761</v>
      </c>
      <c r="F12">
        <f t="shared" si="3"/>
        <v>0.74621539663662761</v>
      </c>
      <c r="G12">
        <f t="shared" si="3"/>
        <v>0.74621539663662761</v>
      </c>
      <c r="H12">
        <f t="shared" si="3"/>
        <v>0.74621539663662761</v>
      </c>
      <c r="I12">
        <f t="shared" si="3"/>
        <v>0.74621539663662761</v>
      </c>
      <c r="J12">
        <f t="shared" si="3"/>
        <v>0.74621539663662761</v>
      </c>
      <c r="M12">
        <f>($E$1 / (1+$E$5)^( M5 - 0.5 ) ) *  ( 0.5 + (1 - (1+$E$5)^(-( M$1 - (M5 - 0.5) ))) / $E$5 )</f>
        <v>19.550062280914862</v>
      </c>
      <c r="N12">
        <f>($E$1 / (1+$E$5)^( N5 - 0.5 ) ) *  ( 0.5 + (1 - (1+$E$5)^(-( N$1 - (N5 - 0.5) ))) / $E$5 )</f>
        <v>18.597397923988918</v>
      </c>
    </row>
    <row r="13" spans="4:19" x14ac:dyDescent="0.25">
      <c r="D13">
        <v>7</v>
      </c>
      <c r="E13">
        <f t="shared" si="2"/>
        <v>0.71068133013012147</v>
      </c>
      <c r="F13">
        <f t="shared" si="3"/>
        <v>0.71068133013012147</v>
      </c>
      <c r="G13">
        <f t="shared" si="3"/>
        <v>0.71068133013012147</v>
      </c>
      <c r="H13">
        <f t="shared" si="3"/>
        <v>0.71068133013012147</v>
      </c>
      <c r="I13">
        <f t="shared" si="3"/>
        <v>0.71068133013012147</v>
      </c>
      <c r="J13">
        <f t="shared" si="3"/>
        <v>0.71068133013012147</v>
      </c>
    </row>
    <row r="14" spans="4:19" x14ac:dyDescent="0.25">
      <c r="D14">
        <v>8</v>
      </c>
      <c r="E14">
        <f t="shared" si="2"/>
        <v>0.67683936202868722</v>
      </c>
      <c r="F14">
        <f t="shared" si="3"/>
        <v>0.67683936202868722</v>
      </c>
      <c r="G14">
        <f t="shared" si="3"/>
        <v>0.67683936202868722</v>
      </c>
      <c r="H14">
        <f t="shared" si="3"/>
        <v>0.67683936202868722</v>
      </c>
      <c r="I14">
        <f t="shared" si="3"/>
        <v>0.67683936202868722</v>
      </c>
      <c r="J14">
        <f t="shared" si="3"/>
        <v>0.67683936202868722</v>
      </c>
    </row>
    <row r="15" spans="4:19" x14ac:dyDescent="0.25">
      <c r="D15">
        <v>9</v>
      </c>
      <c r="E15">
        <f t="shared" si="2"/>
        <v>0.64460891621779726</v>
      </c>
      <c r="F15">
        <f t="shared" si="3"/>
        <v>0.64460891621779726</v>
      </c>
      <c r="G15">
        <f t="shared" si="3"/>
        <v>0.64460891621779726</v>
      </c>
      <c r="H15">
        <f t="shared" si="3"/>
        <v>0.64460891621779726</v>
      </c>
      <c r="I15">
        <f t="shared" ref="I15:J78" si="6">$E$1/POWER((1+$E$5),$D15)</f>
        <v>0.64460891621779726</v>
      </c>
      <c r="J15">
        <f t="shared" si="3"/>
        <v>0.64460891621779726</v>
      </c>
    </row>
    <row r="16" spans="4:19" x14ac:dyDescent="0.25">
      <c r="D16">
        <v>10</v>
      </c>
      <c r="E16">
        <f t="shared" si="2"/>
        <v>0.61391325354075932</v>
      </c>
      <c r="F16">
        <f t="shared" si="3"/>
        <v>0.61391325354075932</v>
      </c>
      <c r="G16">
        <f t="shared" si="3"/>
        <v>0.61391325354075932</v>
      </c>
      <c r="H16">
        <f t="shared" si="3"/>
        <v>0.61391325354075932</v>
      </c>
      <c r="I16">
        <f t="shared" si="6"/>
        <v>0.61391325354075932</v>
      </c>
      <c r="J16">
        <f t="shared" si="6"/>
        <v>0.61391325354075932</v>
      </c>
    </row>
    <row r="17" spans="4:13" x14ac:dyDescent="0.25">
      <c r="D17">
        <v>11</v>
      </c>
      <c r="E17">
        <f t="shared" si="2"/>
        <v>0.5846792890864374</v>
      </c>
      <c r="F17">
        <f t="shared" si="3"/>
        <v>0.5846792890864374</v>
      </c>
      <c r="G17">
        <f t="shared" si="3"/>
        <v>0.5846792890864374</v>
      </c>
      <c r="H17">
        <f t="shared" si="3"/>
        <v>0.5846792890864374</v>
      </c>
      <c r="I17">
        <f t="shared" si="6"/>
        <v>0.5846792890864374</v>
      </c>
      <c r="J17">
        <f t="shared" si="6"/>
        <v>0.5846792890864374</v>
      </c>
    </row>
    <row r="18" spans="4:13" x14ac:dyDescent="0.25">
      <c r="D18">
        <v>12</v>
      </c>
      <c r="E18">
        <f t="shared" si="2"/>
        <v>0.5568374181775595</v>
      </c>
      <c r="F18">
        <f t="shared" si="3"/>
        <v>0.5568374181775595</v>
      </c>
      <c r="G18">
        <f t="shared" si="3"/>
        <v>0.5568374181775595</v>
      </c>
      <c r="H18">
        <f t="shared" si="3"/>
        <v>0.5568374181775595</v>
      </c>
      <c r="I18">
        <f t="shared" si="6"/>
        <v>0.5568374181775595</v>
      </c>
      <c r="J18">
        <f t="shared" si="6"/>
        <v>0.5568374181775595</v>
      </c>
    </row>
    <row r="19" spans="4:13" x14ac:dyDescent="0.25">
      <c r="D19">
        <v>13</v>
      </c>
      <c r="E19">
        <f t="shared" si="2"/>
        <v>0.53032135064529462</v>
      </c>
      <c r="F19">
        <f t="shared" si="3"/>
        <v>0.53032135064529462</v>
      </c>
      <c r="G19">
        <f t="shared" si="3"/>
        <v>0.53032135064529462</v>
      </c>
      <c r="H19">
        <f t="shared" si="3"/>
        <v>0.53032135064529462</v>
      </c>
      <c r="I19">
        <f t="shared" si="6"/>
        <v>0.53032135064529462</v>
      </c>
      <c r="J19">
        <f t="shared" si="6"/>
        <v>0.53032135064529462</v>
      </c>
    </row>
    <row r="20" spans="4:13" x14ac:dyDescent="0.25">
      <c r="D20">
        <v>14</v>
      </c>
      <c r="E20">
        <f t="shared" si="2"/>
        <v>0.50506795299551888</v>
      </c>
      <c r="F20">
        <f t="shared" si="3"/>
        <v>0.50506795299551888</v>
      </c>
      <c r="G20">
        <f t="shared" si="3"/>
        <v>0.50506795299551888</v>
      </c>
      <c r="H20">
        <f t="shared" si="3"/>
        <v>0.50506795299551888</v>
      </c>
      <c r="I20">
        <f t="shared" si="6"/>
        <v>0.50506795299551888</v>
      </c>
      <c r="J20">
        <f t="shared" si="6"/>
        <v>0.50506795299551888</v>
      </c>
      <c r="M20">
        <f>1 + ((1 - (1 + 0.05) ^ (- (77 - 1) )) / 0.05)</f>
        <v>20.509495194717736</v>
      </c>
    </row>
    <row r="21" spans="4:13" x14ac:dyDescent="0.25">
      <c r="D21">
        <v>15</v>
      </c>
      <c r="E21">
        <f t="shared" si="2"/>
        <v>0.48101709809097021</v>
      </c>
      <c r="F21">
        <f t="shared" si="3"/>
        <v>0.48101709809097021</v>
      </c>
      <c r="G21">
        <f t="shared" si="3"/>
        <v>0.48101709809097021</v>
      </c>
      <c r="H21">
        <f t="shared" si="3"/>
        <v>0.48101709809097021</v>
      </c>
      <c r="I21">
        <f t="shared" si="6"/>
        <v>0.48101709809097021</v>
      </c>
      <c r="J21">
        <f t="shared" si="6"/>
        <v>0.48101709809097021</v>
      </c>
    </row>
    <row r="22" spans="4:13" x14ac:dyDescent="0.25">
      <c r="D22">
        <v>16</v>
      </c>
      <c r="E22">
        <f t="shared" si="2"/>
        <v>0.45811152199140021</v>
      </c>
      <c r="F22">
        <f t="shared" si="3"/>
        <v>0.45811152199140021</v>
      </c>
      <c r="G22">
        <f t="shared" si="3"/>
        <v>0.45811152199140021</v>
      </c>
      <c r="H22">
        <f t="shared" si="3"/>
        <v>0.45811152199140021</v>
      </c>
      <c r="I22">
        <f t="shared" si="6"/>
        <v>0.45811152199140021</v>
      </c>
      <c r="J22">
        <f t="shared" si="6"/>
        <v>0.45811152199140021</v>
      </c>
    </row>
    <row r="23" spans="4:13" x14ac:dyDescent="0.25">
      <c r="D23">
        <v>17</v>
      </c>
      <c r="E23">
        <f t="shared" si="2"/>
        <v>0.43629668761085727</v>
      </c>
      <c r="F23">
        <f t="shared" si="3"/>
        <v>0.43629668761085727</v>
      </c>
      <c r="G23">
        <f t="shared" si="3"/>
        <v>0.43629668761085727</v>
      </c>
      <c r="H23">
        <f t="shared" si="3"/>
        <v>0.43629668761085727</v>
      </c>
      <c r="I23">
        <f t="shared" si="6"/>
        <v>0.43629668761085727</v>
      </c>
      <c r="J23">
        <f t="shared" si="6"/>
        <v>0.43629668761085727</v>
      </c>
    </row>
    <row r="24" spans="4:13" x14ac:dyDescent="0.25">
      <c r="D24">
        <v>18</v>
      </c>
      <c r="E24">
        <f t="shared" si="2"/>
        <v>0.41552065486748313</v>
      </c>
      <c r="F24">
        <f t="shared" si="3"/>
        <v>0.41552065486748313</v>
      </c>
      <c r="G24">
        <f t="shared" si="3"/>
        <v>0.41552065486748313</v>
      </c>
      <c r="H24">
        <f t="shared" si="3"/>
        <v>0.41552065486748313</v>
      </c>
      <c r="I24">
        <f t="shared" si="6"/>
        <v>0.41552065486748313</v>
      </c>
      <c r="J24">
        <f t="shared" si="6"/>
        <v>0.41552065486748313</v>
      </c>
    </row>
    <row r="25" spans="4:13" x14ac:dyDescent="0.25">
      <c r="D25">
        <v>19</v>
      </c>
      <c r="E25">
        <f t="shared" si="2"/>
        <v>0.39573395701665059</v>
      </c>
      <c r="F25">
        <f t="shared" si="3"/>
        <v>0.39573395701665059</v>
      </c>
      <c r="G25">
        <f t="shared" si="3"/>
        <v>0.39573395701665059</v>
      </c>
      <c r="H25">
        <f t="shared" si="3"/>
        <v>0.39573395701665059</v>
      </c>
      <c r="I25">
        <f t="shared" si="6"/>
        <v>0.39573395701665059</v>
      </c>
      <c r="J25">
        <f t="shared" si="6"/>
        <v>0.39573395701665059</v>
      </c>
    </row>
    <row r="26" spans="4:13" x14ac:dyDescent="0.25">
      <c r="D26">
        <v>20</v>
      </c>
      <c r="E26">
        <f t="shared" si="2"/>
        <v>0.37688948287300061</v>
      </c>
      <c r="F26">
        <f t="shared" si="3"/>
        <v>0.37688948287300061</v>
      </c>
      <c r="G26">
        <f t="shared" si="3"/>
        <v>0.37688948287300061</v>
      </c>
      <c r="H26">
        <f t="shared" si="3"/>
        <v>0.37688948287300061</v>
      </c>
      <c r="I26">
        <f t="shared" si="6"/>
        <v>0.37688948287300061</v>
      </c>
      <c r="J26">
        <f t="shared" si="6"/>
        <v>0.37688948287300061</v>
      </c>
    </row>
    <row r="27" spans="4:13" x14ac:dyDescent="0.25">
      <c r="D27">
        <v>21</v>
      </c>
      <c r="E27">
        <f t="shared" si="2"/>
        <v>0.35894236464095297</v>
      </c>
      <c r="F27">
        <f t="shared" si="3"/>
        <v>0.35894236464095297</v>
      </c>
      <c r="G27">
        <f t="shared" si="3"/>
        <v>0.35894236464095297</v>
      </c>
      <c r="H27">
        <f t="shared" si="3"/>
        <v>0.35894236464095297</v>
      </c>
      <c r="I27">
        <f t="shared" si="6"/>
        <v>0.35894236464095297</v>
      </c>
      <c r="J27">
        <f t="shared" si="6"/>
        <v>0.35894236464095297</v>
      </c>
    </row>
    <row r="28" spans="4:13" x14ac:dyDescent="0.25">
      <c r="D28">
        <v>22</v>
      </c>
      <c r="E28">
        <f t="shared" ref="E8:E71" si="7">$E$6/POWER((1+$E$5),D28)</f>
        <v>0.3418498710866219</v>
      </c>
      <c r="F28">
        <f t="shared" si="3"/>
        <v>0.3418498710866219</v>
      </c>
      <c r="G28">
        <f t="shared" si="3"/>
        <v>0.3418498710866219</v>
      </c>
      <c r="H28">
        <f t="shared" si="3"/>
        <v>0.3418498710866219</v>
      </c>
      <c r="I28">
        <f t="shared" si="6"/>
        <v>0.3418498710866219</v>
      </c>
      <c r="J28">
        <f t="shared" si="6"/>
        <v>0.3418498710866219</v>
      </c>
    </row>
    <row r="29" spans="4:13" x14ac:dyDescent="0.25">
      <c r="D29">
        <v>23</v>
      </c>
      <c r="E29">
        <f t="shared" si="7"/>
        <v>0.32557130579678267</v>
      </c>
      <c r="F29">
        <f t="shared" si="3"/>
        <v>0.32557130579678267</v>
      </c>
      <c r="G29">
        <f t="shared" si="3"/>
        <v>0.32557130579678267</v>
      </c>
      <c r="H29">
        <f t="shared" si="3"/>
        <v>0.32557130579678267</v>
      </c>
      <c r="I29">
        <f t="shared" si="6"/>
        <v>0.32557130579678267</v>
      </c>
      <c r="J29">
        <f t="shared" si="6"/>
        <v>0.32557130579678267</v>
      </c>
    </row>
    <row r="30" spans="4:13" x14ac:dyDescent="0.25">
      <c r="D30">
        <v>24</v>
      </c>
      <c r="E30">
        <f t="shared" si="7"/>
        <v>0.31006791028265024</v>
      </c>
      <c r="F30">
        <f t="shared" si="3"/>
        <v>0.31006791028265024</v>
      </c>
      <c r="G30">
        <f t="shared" si="3"/>
        <v>0.31006791028265024</v>
      </c>
      <c r="H30">
        <f t="shared" si="3"/>
        <v>0.31006791028265024</v>
      </c>
      <c r="I30">
        <f t="shared" si="6"/>
        <v>0.31006791028265024</v>
      </c>
      <c r="J30">
        <f t="shared" si="6"/>
        <v>0.31006791028265024</v>
      </c>
    </row>
    <row r="31" spans="4:13" x14ac:dyDescent="0.25">
      <c r="D31">
        <v>25</v>
      </c>
      <c r="E31">
        <f t="shared" si="7"/>
        <v>0.29530277169776209</v>
      </c>
      <c r="F31">
        <f t="shared" si="3"/>
        <v>0.29530277169776209</v>
      </c>
      <c r="G31">
        <f t="shared" si="3"/>
        <v>0.29530277169776209</v>
      </c>
      <c r="H31">
        <f t="shared" si="3"/>
        <v>0.29530277169776209</v>
      </c>
      <c r="I31">
        <f t="shared" si="6"/>
        <v>0.29530277169776209</v>
      </c>
      <c r="J31">
        <f t="shared" si="6"/>
        <v>0.29530277169776209</v>
      </c>
    </row>
    <row r="32" spans="4:13" x14ac:dyDescent="0.25">
      <c r="D32">
        <v>26</v>
      </c>
      <c r="E32">
        <f t="shared" si="7"/>
        <v>0.28124073495024959</v>
      </c>
      <c r="F32">
        <f t="shared" si="3"/>
        <v>0.28124073495024959</v>
      </c>
      <c r="G32">
        <f t="shared" si="3"/>
        <v>0.28124073495024959</v>
      </c>
      <c r="H32">
        <f t="shared" si="3"/>
        <v>0.28124073495024959</v>
      </c>
      <c r="I32">
        <f t="shared" si="6"/>
        <v>0.28124073495024959</v>
      </c>
      <c r="J32">
        <f t="shared" si="6"/>
        <v>0.28124073495024959</v>
      </c>
    </row>
    <row r="33" spans="4:10" x14ac:dyDescent="0.25">
      <c r="D33">
        <v>27</v>
      </c>
      <c r="E33">
        <f t="shared" si="7"/>
        <v>0.2678483190002377</v>
      </c>
      <c r="F33">
        <f t="shared" si="3"/>
        <v>0.2678483190002377</v>
      </c>
      <c r="G33">
        <f t="shared" si="3"/>
        <v>0.2678483190002377</v>
      </c>
      <c r="H33">
        <f t="shared" si="3"/>
        <v>0.2678483190002377</v>
      </c>
      <c r="I33">
        <f t="shared" si="6"/>
        <v>0.2678483190002377</v>
      </c>
      <c r="J33">
        <f t="shared" si="6"/>
        <v>0.2678483190002377</v>
      </c>
    </row>
    <row r="34" spans="4:10" x14ac:dyDescent="0.25">
      <c r="D34">
        <v>28</v>
      </c>
      <c r="E34">
        <f t="shared" si="7"/>
        <v>0.25509363714308358</v>
      </c>
      <c r="F34">
        <f t="shared" si="3"/>
        <v>0.25509363714308358</v>
      </c>
      <c r="G34">
        <f t="shared" si="3"/>
        <v>0.25509363714308358</v>
      </c>
      <c r="H34">
        <f t="shared" si="3"/>
        <v>0.25509363714308358</v>
      </c>
      <c r="I34">
        <f t="shared" si="6"/>
        <v>0.25509363714308358</v>
      </c>
      <c r="J34">
        <f t="shared" si="6"/>
        <v>0.25509363714308358</v>
      </c>
    </row>
    <row r="35" spans="4:10" x14ac:dyDescent="0.25">
      <c r="D35">
        <v>29</v>
      </c>
      <c r="E35">
        <f t="shared" si="7"/>
        <v>0.24294632108865097</v>
      </c>
      <c r="F35">
        <f t="shared" si="3"/>
        <v>0.24294632108865097</v>
      </c>
      <c r="G35">
        <f t="shared" si="3"/>
        <v>0.24294632108865097</v>
      </c>
      <c r="H35">
        <f t="shared" si="3"/>
        <v>0.24294632108865097</v>
      </c>
      <c r="I35">
        <f t="shared" si="6"/>
        <v>0.24294632108865097</v>
      </c>
      <c r="J35">
        <f t="shared" si="6"/>
        <v>0.24294632108865097</v>
      </c>
    </row>
    <row r="36" spans="4:10" x14ac:dyDescent="0.25">
      <c r="D36">
        <v>30</v>
      </c>
      <c r="E36">
        <f t="shared" si="7"/>
        <v>0.23137744865585813</v>
      </c>
      <c r="F36">
        <f t="shared" si="3"/>
        <v>0.23137744865585813</v>
      </c>
      <c r="G36">
        <f t="shared" si="3"/>
        <v>0.23137744865585813</v>
      </c>
      <c r="H36">
        <f t="shared" si="3"/>
        <v>0.23137744865585813</v>
      </c>
      <c r="I36">
        <f t="shared" si="6"/>
        <v>0.23137744865585813</v>
      </c>
      <c r="J36">
        <f t="shared" si="6"/>
        <v>0.23137744865585813</v>
      </c>
    </row>
    <row r="37" spans="4:10" x14ac:dyDescent="0.25">
      <c r="D37">
        <v>31</v>
      </c>
      <c r="E37">
        <f t="shared" si="7"/>
        <v>0.220359474910341</v>
      </c>
      <c r="F37">
        <f t="shared" si="3"/>
        <v>0.220359474910341</v>
      </c>
      <c r="G37">
        <f t="shared" si="3"/>
        <v>0.220359474910341</v>
      </c>
      <c r="H37">
        <f t="shared" si="3"/>
        <v>0.220359474910341</v>
      </c>
      <c r="I37">
        <f t="shared" si="6"/>
        <v>0.220359474910341</v>
      </c>
      <c r="J37">
        <f t="shared" si="6"/>
        <v>0.220359474910341</v>
      </c>
    </row>
    <row r="38" spans="4:10" x14ac:dyDescent="0.25">
      <c r="D38">
        <v>32</v>
      </c>
      <c r="E38">
        <f t="shared" si="7"/>
        <v>0.20986616658127716</v>
      </c>
      <c r="F38">
        <f t="shared" si="3"/>
        <v>0.20986616658127716</v>
      </c>
      <c r="G38">
        <f t="shared" si="3"/>
        <v>0.20986616658127716</v>
      </c>
      <c r="H38">
        <f t="shared" si="3"/>
        <v>0.20986616658127716</v>
      </c>
      <c r="I38">
        <f t="shared" si="6"/>
        <v>0.20986616658127716</v>
      </c>
      <c r="J38">
        <f t="shared" si="6"/>
        <v>0.20986616658127716</v>
      </c>
    </row>
    <row r="39" spans="4:10" x14ac:dyDescent="0.25">
      <c r="D39">
        <v>33</v>
      </c>
      <c r="E39">
        <f t="shared" si="7"/>
        <v>0.19987253960121634</v>
      </c>
      <c r="F39">
        <f t="shared" si="3"/>
        <v>0.19987253960121634</v>
      </c>
      <c r="G39">
        <f t="shared" si="3"/>
        <v>0.19987253960121634</v>
      </c>
      <c r="H39">
        <f t="shared" si="3"/>
        <v>0.19987253960121634</v>
      </c>
      <c r="I39">
        <f t="shared" si="6"/>
        <v>0.19987253960121634</v>
      </c>
      <c r="J39">
        <f t="shared" si="6"/>
        <v>0.19987253960121634</v>
      </c>
    </row>
    <row r="40" spans="4:10" x14ac:dyDescent="0.25">
      <c r="D40">
        <v>34</v>
      </c>
      <c r="E40">
        <f t="shared" si="7"/>
        <v>0.19035479962020604</v>
      </c>
      <c r="F40">
        <f t="shared" si="3"/>
        <v>0.19035479962020604</v>
      </c>
      <c r="G40">
        <f t="shared" si="3"/>
        <v>0.19035479962020604</v>
      </c>
      <c r="H40">
        <f t="shared" si="3"/>
        <v>0.19035479962020604</v>
      </c>
      <c r="I40">
        <f t="shared" si="6"/>
        <v>0.19035479962020604</v>
      </c>
      <c r="J40">
        <f t="shared" si="6"/>
        <v>0.19035479962020604</v>
      </c>
    </row>
    <row r="41" spans="4:10" x14ac:dyDescent="0.25">
      <c r="D41">
        <v>35</v>
      </c>
      <c r="E41">
        <f t="shared" si="7"/>
        <v>0.18129028535257716</v>
      </c>
      <c r="F41">
        <f t="shared" si="3"/>
        <v>0.18129028535257716</v>
      </c>
      <c r="G41">
        <f t="shared" si="3"/>
        <v>0.18129028535257716</v>
      </c>
      <c r="H41">
        <f t="shared" si="3"/>
        <v>0.18129028535257716</v>
      </c>
      <c r="I41">
        <f t="shared" si="6"/>
        <v>0.18129028535257716</v>
      </c>
      <c r="J41">
        <f t="shared" si="6"/>
        <v>0.18129028535257716</v>
      </c>
    </row>
    <row r="42" spans="4:10" x14ac:dyDescent="0.25">
      <c r="D42">
        <v>36</v>
      </c>
      <c r="E42">
        <f t="shared" si="7"/>
        <v>0.17265741462150208</v>
      </c>
      <c r="F42">
        <f t="shared" si="3"/>
        <v>0.17265741462150208</v>
      </c>
      <c r="G42">
        <f t="shared" si="3"/>
        <v>0.17265741462150208</v>
      </c>
      <c r="H42">
        <f t="shared" si="3"/>
        <v>0.17265741462150208</v>
      </c>
      <c r="I42">
        <f t="shared" si="6"/>
        <v>0.17265741462150208</v>
      </c>
      <c r="J42">
        <f t="shared" si="6"/>
        <v>0.17265741462150208</v>
      </c>
    </row>
    <row r="43" spans="4:10" x14ac:dyDescent="0.25">
      <c r="D43">
        <v>37</v>
      </c>
      <c r="E43">
        <f t="shared" si="7"/>
        <v>0.1644356329728591</v>
      </c>
      <c r="F43">
        <f t="shared" si="3"/>
        <v>0.1644356329728591</v>
      </c>
      <c r="G43">
        <f t="shared" si="3"/>
        <v>0.1644356329728591</v>
      </c>
      <c r="H43">
        <f t="shared" si="3"/>
        <v>0.1644356329728591</v>
      </c>
      <c r="I43">
        <f t="shared" si="6"/>
        <v>0.1644356329728591</v>
      </c>
      <c r="J43">
        <f t="shared" si="6"/>
        <v>0.1644356329728591</v>
      </c>
    </row>
    <row r="44" spans="4:10" x14ac:dyDescent="0.25">
      <c r="D44">
        <v>38</v>
      </c>
      <c r="E44">
        <f t="shared" si="7"/>
        <v>0.15660536473605632</v>
      </c>
      <c r="F44">
        <f t="shared" si="3"/>
        <v>0.15660536473605632</v>
      </c>
      <c r="G44">
        <f t="shared" si="3"/>
        <v>0.15660536473605632</v>
      </c>
      <c r="H44">
        <f t="shared" si="3"/>
        <v>0.15660536473605632</v>
      </c>
      <c r="I44">
        <f t="shared" si="6"/>
        <v>0.15660536473605632</v>
      </c>
      <c r="J44">
        <f t="shared" si="6"/>
        <v>0.15660536473605632</v>
      </c>
    </row>
    <row r="45" spans="4:10" x14ac:dyDescent="0.25">
      <c r="D45">
        <v>39</v>
      </c>
      <c r="E45">
        <f t="shared" si="7"/>
        <v>0.14914796641529171</v>
      </c>
      <c r="F45">
        <f t="shared" si="3"/>
        <v>0.14914796641529171</v>
      </c>
      <c r="G45">
        <f t="shared" si="3"/>
        <v>0.14914796641529171</v>
      </c>
      <c r="H45">
        <f t="shared" si="3"/>
        <v>0.14914796641529171</v>
      </c>
      <c r="I45">
        <f t="shared" si="6"/>
        <v>0.14914796641529171</v>
      </c>
      <c r="J45">
        <f t="shared" si="6"/>
        <v>0.14914796641529171</v>
      </c>
    </row>
    <row r="46" spans="4:10" x14ac:dyDescent="0.25">
      <c r="D46">
        <v>40</v>
      </c>
      <c r="E46">
        <f t="shared" si="7"/>
        <v>0.14204568230027784</v>
      </c>
      <c r="F46">
        <f t="shared" si="3"/>
        <v>0.14204568230027784</v>
      </c>
      <c r="G46">
        <f t="shared" si="3"/>
        <v>0.14204568230027784</v>
      </c>
      <c r="H46">
        <f t="shared" si="3"/>
        <v>0.14204568230027784</v>
      </c>
      <c r="I46">
        <f t="shared" si="6"/>
        <v>0.14204568230027784</v>
      </c>
      <c r="J46">
        <f t="shared" si="6"/>
        <v>0.14204568230027784</v>
      </c>
    </row>
    <row r="47" spans="4:10" x14ac:dyDescent="0.25">
      <c r="D47">
        <v>41</v>
      </c>
      <c r="E47">
        <f t="shared" si="7"/>
        <v>0.13528160219074079</v>
      </c>
      <c r="F47">
        <f t="shared" si="3"/>
        <v>0.13528160219074079</v>
      </c>
      <c r="G47">
        <f t="shared" si="3"/>
        <v>0.13528160219074079</v>
      </c>
      <c r="H47">
        <f t="shared" si="3"/>
        <v>0.13528160219074079</v>
      </c>
      <c r="I47">
        <f t="shared" si="6"/>
        <v>0.13528160219074079</v>
      </c>
      <c r="J47">
        <f t="shared" si="6"/>
        <v>0.13528160219074079</v>
      </c>
    </row>
    <row r="48" spans="4:10" x14ac:dyDescent="0.25">
      <c r="D48">
        <v>42</v>
      </c>
      <c r="E48">
        <f t="shared" si="7"/>
        <v>0.12883962113403885</v>
      </c>
      <c r="F48">
        <f t="shared" si="3"/>
        <v>0.12883962113403885</v>
      </c>
      <c r="G48">
        <f t="shared" si="3"/>
        <v>0.12883962113403885</v>
      </c>
      <c r="H48">
        <f t="shared" si="3"/>
        <v>0.12883962113403885</v>
      </c>
      <c r="I48">
        <f t="shared" si="6"/>
        <v>0.12883962113403885</v>
      </c>
      <c r="J48">
        <f t="shared" si="6"/>
        <v>0.12883962113403885</v>
      </c>
    </row>
    <row r="49" spans="4:10" x14ac:dyDescent="0.25">
      <c r="D49">
        <v>43</v>
      </c>
      <c r="E49">
        <f t="shared" si="7"/>
        <v>0.12270440108003698</v>
      </c>
      <c r="F49">
        <f t="shared" si="3"/>
        <v>0.12270440108003698</v>
      </c>
      <c r="G49">
        <f t="shared" si="3"/>
        <v>0.12270440108003698</v>
      </c>
      <c r="H49">
        <f t="shared" si="3"/>
        <v>0.12270440108003698</v>
      </c>
      <c r="I49">
        <f t="shared" si="6"/>
        <v>0.12270440108003698</v>
      </c>
      <c r="J49">
        <f t="shared" si="6"/>
        <v>0.12270440108003698</v>
      </c>
    </row>
    <row r="50" spans="4:10" x14ac:dyDescent="0.25">
      <c r="D50">
        <v>44</v>
      </c>
      <c r="E50">
        <f t="shared" si="7"/>
        <v>0.11686133436193999</v>
      </c>
      <c r="F50">
        <f t="shared" si="3"/>
        <v>0.11686133436193999</v>
      </c>
      <c r="G50">
        <f t="shared" si="3"/>
        <v>0.11686133436193999</v>
      </c>
      <c r="H50">
        <f t="shared" si="3"/>
        <v>0.11686133436193999</v>
      </c>
      <c r="I50">
        <f t="shared" si="6"/>
        <v>0.11686133436193999</v>
      </c>
      <c r="J50">
        <f t="shared" si="6"/>
        <v>0.11686133436193999</v>
      </c>
    </row>
    <row r="51" spans="4:10" x14ac:dyDescent="0.25">
      <c r="D51">
        <v>45</v>
      </c>
      <c r="E51">
        <f t="shared" si="7"/>
        <v>0.1112965089161333</v>
      </c>
      <c r="F51">
        <f t="shared" si="3"/>
        <v>0.1112965089161333</v>
      </c>
      <c r="G51">
        <f t="shared" si="3"/>
        <v>0.1112965089161333</v>
      </c>
      <c r="H51">
        <f t="shared" si="3"/>
        <v>0.1112965089161333</v>
      </c>
      <c r="I51">
        <f t="shared" si="6"/>
        <v>0.1112965089161333</v>
      </c>
      <c r="J51">
        <f t="shared" si="6"/>
        <v>0.1112965089161333</v>
      </c>
    </row>
    <row r="52" spans="4:10" x14ac:dyDescent="0.25">
      <c r="D52">
        <v>46</v>
      </c>
      <c r="E52">
        <f t="shared" si="7"/>
        <v>0.10599667515822221</v>
      </c>
      <c r="F52">
        <f t="shared" si="3"/>
        <v>0.10599667515822221</v>
      </c>
      <c r="G52">
        <f t="shared" si="3"/>
        <v>0.10599667515822221</v>
      </c>
      <c r="H52">
        <f t="shared" si="3"/>
        <v>0.10599667515822221</v>
      </c>
      <c r="I52">
        <f t="shared" si="6"/>
        <v>0.10599667515822221</v>
      </c>
      <c r="J52">
        <f t="shared" si="6"/>
        <v>0.10599667515822221</v>
      </c>
    </row>
    <row r="53" spans="4:10" x14ac:dyDescent="0.25">
      <c r="D53">
        <v>47</v>
      </c>
      <c r="E53">
        <f t="shared" si="7"/>
        <v>0.10094921443640208</v>
      </c>
      <c r="F53">
        <f t="shared" si="3"/>
        <v>0.10094921443640208</v>
      </c>
      <c r="G53">
        <f t="shared" si="3"/>
        <v>0.10094921443640208</v>
      </c>
      <c r="H53">
        <f t="shared" si="3"/>
        <v>0.10094921443640208</v>
      </c>
      <c r="I53">
        <f t="shared" si="6"/>
        <v>0.10094921443640208</v>
      </c>
      <c r="J53">
        <f t="shared" si="6"/>
        <v>0.10094921443640208</v>
      </c>
    </row>
    <row r="54" spans="4:10" x14ac:dyDescent="0.25">
      <c r="D54">
        <v>48</v>
      </c>
      <c r="E54">
        <f t="shared" si="7"/>
        <v>9.6142108987049613E-2</v>
      </c>
      <c r="F54">
        <f t="shared" si="3"/>
        <v>9.6142108987049613E-2</v>
      </c>
      <c r="G54">
        <f t="shared" si="3"/>
        <v>9.6142108987049613E-2</v>
      </c>
      <c r="H54">
        <f t="shared" si="3"/>
        <v>9.6142108987049613E-2</v>
      </c>
      <c r="I54">
        <f t="shared" si="6"/>
        <v>9.6142108987049613E-2</v>
      </c>
      <c r="J54">
        <f t="shared" si="6"/>
        <v>9.6142108987049613E-2</v>
      </c>
    </row>
    <row r="55" spans="4:10" x14ac:dyDescent="0.25">
      <c r="D55">
        <v>49</v>
      </c>
      <c r="E55">
        <f t="shared" si="7"/>
        <v>9.1563913320999626E-2</v>
      </c>
      <c r="F55">
        <f t="shared" si="3"/>
        <v>9.1563913320999626E-2</v>
      </c>
      <c r="G55">
        <f t="shared" si="3"/>
        <v>9.1563913320999626E-2</v>
      </c>
      <c r="H55">
        <f t="shared" si="3"/>
        <v>9.1563913320999626E-2</v>
      </c>
      <c r="I55">
        <f t="shared" si="6"/>
        <v>9.1563913320999626E-2</v>
      </c>
      <c r="J55">
        <f t="shared" si="6"/>
        <v>9.1563913320999626E-2</v>
      </c>
    </row>
    <row r="56" spans="4:10" x14ac:dyDescent="0.25">
      <c r="D56">
        <v>50</v>
      </c>
      <c r="E56">
        <f t="shared" si="7"/>
        <v>8.7203726972380588E-2</v>
      </c>
      <c r="F56">
        <f t="shared" si="3"/>
        <v>8.7203726972380588E-2</v>
      </c>
      <c r="G56">
        <f t="shared" si="3"/>
        <v>8.7203726972380588E-2</v>
      </c>
      <c r="H56">
        <f t="shared" si="3"/>
        <v>8.7203726972380588E-2</v>
      </c>
      <c r="I56">
        <f t="shared" si="6"/>
        <v>8.7203726972380588E-2</v>
      </c>
      <c r="J56">
        <f t="shared" si="6"/>
        <v>8.7203726972380588E-2</v>
      </c>
    </row>
    <row r="57" spans="4:10" x14ac:dyDescent="0.25">
      <c r="D57">
        <v>51</v>
      </c>
      <c r="E57">
        <f t="shared" si="7"/>
        <v>8.3051168545124371E-2</v>
      </c>
      <c r="F57">
        <f t="shared" si="3"/>
        <v>8.3051168545124371E-2</v>
      </c>
      <c r="G57">
        <f t="shared" si="3"/>
        <v>8.3051168545124371E-2</v>
      </c>
      <c r="H57">
        <f t="shared" si="3"/>
        <v>8.3051168545124371E-2</v>
      </c>
      <c r="I57">
        <f t="shared" si="6"/>
        <v>8.3051168545124371E-2</v>
      </c>
      <c r="J57">
        <f t="shared" si="6"/>
        <v>8.3051168545124371E-2</v>
      </c>
    </row>
    <row r="58" spans="4:10" x14ac:dyDescent="0.25">
      <c r="D58">
        <v>52</v>
      </c>
      <c r="E58">
        <f t="shared" si="7"/>
        <v>7.9096350995356543E-2</v>
      </c>
      <c r="F58">
        <f t="shared" si="3"/>
        <v>7.9096350995356543E-2</v>
      </c>
      <c r="G58">
        <f t="shared" si="3"/>
        <v>7.9096350995356543E-2</v>
      </c>
      <c r="H58">
        <f t="shared" si="3"/>
        <v>7.9096350995356543E-2</v>
      </c>
      <c r="I58">
        <f t="shared" si="6"/>
        <v>7.9096350995356543E-2</v>
      </c>
      <c r="J58">
        <f t="shared" si="6"/>
        <v>7.9096350995356543E-2</v>
      </c>
    </row>
    <row r="59" spans="4:10" x14ac:dyDescent="0.25">
      <c r="D59">
        <v>53</v>
      </c>
      <c r="E59">
        <f t="shared" si="7"/>
        <v>7.5329858090815757E-2</v>
      </c>
      <c r="F59">
        <f t="shared" si="3"/>
        <v>7.5329858090815757E-2</v>
      </c>
      <c r="G59">
        <f t="shared" si="3"/>
        <v>7.5329858090815757E-2</v>
      </c>
      <c r="H59">
        <f t="shared" si="3"/>
        <v>7.5329858090815757E-2</v>
      </c>
      <c r="I59">
        <f t="shared" si="6"/>
        <v>7.5329858090815757E-2</v>
      </c>
      <c r="J59">
        <f t="shared" si="6"/>
        <v>7.5329858090815757E-2</v>
      </c>
    </row>
    <row r="60" spans="4:10" x14ac:dyDescent="0.25">
      <c r="D60">
        <v>54</v>
      </c>
      <c r="E60">
        <f t="shared" si="7"/>
        <v>7.1742721991253117E-2</v>
      </c>
      <c r="F60">
        <f t="shared" si="3"/>
        <v>7.1742721991253117E-2</v>
      </c>
      <c r="G60">
        <f t="shared" si="3"/>
        <v>7.1742721991253117E-2</v>
      </c>
      <c r="H60">
        <f t="shared" si="3"/>
        <v>7.1742721991253117E-2</v>
      </c>
      <c r="I60">
        <f t="shared" si="6"/>
        <v>7.1742721991253117E-2</v>
      </c>
      <c r="J60">
        <f t="shared" si="6"/>
        <v>7.1742721991253117E-2</v>
      </c>
    </row>
    <row r="61" spans="4:10" x14ac:dyDescent="0.25">
      <c r="D61">
        <v>55</v>
      </c>
      <c r="E61">
        <f t="shared" si="7"/>
        <v>6.8326401896431521E-2</v>
      </c>
      <c r="F61">
        <f t="shared" si="3"/>
        <v>6.8326401896431521E-2</v>
      </c>
      <c r="G61">
        <f t="shared" si="3"/>
        <v>6.8326401896431521E-2</v>
      </c>
      <c r="H61">
        <f t="shared" si="3"/>
        <v>6.8326401896431521E-2</v>
      </c>
      <c r="I61">
        <f t="shared" si="6"/>
        <v>6.8326401896431521E-2</v>
      </c>
      <c r="J61">
        <f t="shared" si="6"/>
        <v>6.8326401896431521E-2</v>
      </c>
    </row>
    <row r="62" spans="4:10" x14ac:dyDescent="0.25">
      <c r="D62">
        <v>56</v>
      </c>
      <c r="E62">
        <f t="shared" si="7"/>
        <v>6.5072763710887174E-2</v>
      </c>
      <c r="F62">
        <f t="shared" si="3"/>
        <v>6.5072763710887174E-2</v>
      </c>
      <c r="G62">
        <f t="shared" si="3"/>
        <v>6.5072763710887174E-2</v>
      </c>
      <c r="H62">
        <f t="shared" si="3"/>
        <v>6.5072763710887174E-2</v>
      </c>
      <c r="I62">
        <f t="shared" si="6"/>
        <v>6.5072763710887174E-2</v>
      </c>
      <c r="J62">
        <f t="shared" si="6"/>
        <v>6.5072763710887174E-2</v>
      </c>
    </row>
    <row r="63" spans="4:10" x14ac:dyDescent="0.25">
      <c r="D63">
        <v>57</v>
      </c>
      <c r="E63">
        <f t="shared" si="7"/>
        <v>6.1974060677035397E-2</v>
      </c>
      <c r="F63">
        <f t="shared" si="3"/>
        <v>6.1974060677035397E-2</v>
      </c>
      <c r="G63">
        <f t="shared" si="3"/>
        <v>6.1974060677035397E-2</v>
      </c>
      <c r="H63">
        <f t="shared" si="3"/>
        <v>6.1974060677035397E-2</v>
      </c>
      <c r="I63">
        <f t="shared" si="6"/>
        <v>6.1974060677035397E-2</v>
      </c>
      <c r="J63">
        <f t="shared" si="6"/>
        <v>6.1974060677035397E-2</v>
      </c>
    </row>
    <row r="64" spans="4:10" x14ac:dyDescent="0.25">
      <c r="D64">
        <v>58</v>
      </c>
      <c r="E64">
        <f t="shared" si="7"/>
        <v>5.9022914930509894E-2</v>
      </c>
      <c r="F64">
        <f t="shared" si="3"/>
        <v>5.9022914930509894E-2</v>
      </c>
      <c r="G64">
        <f t="shared" si="3"/>
        <v>5.9022914930509894E-2</v>
      </c>
      <c r="H64">
        <f t="shared" si="3"/>
        <v>5.9022914930509894E-2</v>
      </c>
      <c r="I64">
        <f t="shared" si="6"/>
        <v>5.9022914930509894E-2</v>
      </c>
      <c r="J64">
        <f t="shared" si="6"/>
        <v>5.9022914930509894E-2</v>
      </c>
    </row>
    <row r="65" spans="4:10" x14ac:dyDescent="0.25">
      <c r="D65">
        <v>59</v>
      </c>
      <c r="E65">
        <f t="shared" si="7"/>
        <v>5.6212299933818946E-2</v>
      </c>
      <c r="F65">
        <f t="shared" si="3"/>
        <v>5.6212299933818946E-2</v>
      </c>
      <c r="G65">
        <f t="shared" si="3"/>
        <v>5.6212299933818946E-2</v>
      </c>
      <c r="H65">
        <f t="shared" si="3"/>
        <v>5.6212299933818946E-2</v>
      </c>
      <c r="I65">
        <f t="shared" si="6"/>
        <v>5.6212299933818946E-2</v>
      </c>
      <c r="J65">
        <f t="shared" si="6"/>
        <v>5.6212299933818946E-2</v>
      </c>
    </row>
    <row r="66" spans="4:10" x14ac:dyDescent="0.25">
      <c r="D66">
        <v>60</v>
      </c>
      <c r="E66">
        <f t="shared" si="7"/>
        <v>5.3535523746494243E-2</v>
      </c>
      <c r="F66">
        <f t="shared" si="3"/>
        <v>5.3535523746494243E-2</v>
      </c>
      <c r="G66">
        <f t="shared" si="3"/>
        <v>5.3535523746494243E-2</v>
      </c>
      <c r="H66">
        <f t="shared" si="3"/>
        <v>5.3535523746494243E-2</v>
      </c>
      <c r="I66">
        <f t="shared" si="6"/>
        <v>5.3535523746494243E-2</v>
      </c>
      <c r="J66">
        <f t="shared" si="6"/>
        <v>5.3535523746494243E-2</v>
      </c>
    </row>
    <row r="67" spans="4:10" x14ac:dyDescent="0.25">
      <c r="D67">
        <v>61</v>
      </c>
      <c r="E67">
        <f t="shared" si="7"/>
        <v>5.0986213091899268E-2</v>
      </c>
      <c r="F67">
        <f t="shared" si="3"/>
        <v>5.0986213091899268E-2</v>
      </c>
      <c r="G67">
        <f t="shared" si="3"/>
        <v>5.0986213091899268E-2</v>
      </c>
      <c r="H67">
        <f t="shared" si="3"/>
        <v>5.0986213091899268E-2</v>
      </c>
      <c r="I67">
        <f t="shared" si="6"/>
        <v>5.0986213091899268E-2</v>
      </c>
      <c r="J67">
        <f t="shared" si="6"/>
        <v>5.0986213091899268E-2</v>
      </c>
    </row>
    <row r="68" spans="4:10" x14ac:dyDescent="0.25">
      <c r="D68">
        <v>62</v>
      </c>
      <c r="E68">
        <f t="shared" si="7"/>
        <v>4.855829818276123E-2</v>
      </c>
      <c r="F68">
        <f t="shared" si="3"/>
        <v>4.855829818276123E-2</v>
      </c>
      <c r="G68">
        <f t="shared" si="3"/>
        <v>4.855829818276123E-2</v>
      </c>
      <c r="H68">
        <f t="shared" si="3"/>
        <v>4.855829818276123E-2</v>
      </c>
      <c r="I68">
        <f t="shared" si="6"/>
        <v>4.855829818276123E-2</v>
      </c>
      <c r="J68">
        <f t="shared" si="6"/>
        <v>4.855829818276123E-2</v>
      </c>
    </row>
    <row r="69" spans="4:10" x14ac:dyDescent="0.25">
      <c r="D69">
        <v>63</v>
      </c>
      <c r="E69">
        <f t="shared" si="7"/>
        <v>4.6245998269296387E-2</v>
      </c>
      <c r="F69">
        <f t="shared" si="3"/>
        <v>4.6245998269296387E-2</v>
      </c>
      <c r="G69">
        <f t="shared" si="3"/>
        <v>4.6245998269296387E-2</v>
      </c>
      <c r="H69">
        <f t="shared" si="3"/>
        <v>4.6245998269296387E-2</v>
      </c>
      <c r="I69">
        <f t="shared" si="6"/>
        <v>4.6245998269296387E-2</v>
      </c>
      <c r="J69">
        <f t="shared" si="6"/>
        <v>4.6245998269296387E-2</v>
      </c>
    </row>
    <row r="70" spans="4:10" x14ac:dyDescent="0.25">
      <c r="D70">
        <v>64</v>
      </c>
      <c r="E70">
        <f t="shared" si="7"/>
        <v>4.4043807875520369E-2</v>
      </c>
      <c r="F70">
        <f t="shared" si="3"/>
        <v>4.4043807875520369E-2</v>
      </c>
      <c r="G70">
        <f t="shared" si="3"/>
        <v>4.4043807875520369E-2</v>
      </c>
      <c r="H70">
        <f t="shared" si="3"/>
        <v>4.4043807875520369E-2</v>
      </c>
      <c r="I70">
        <f t="shared" si="6"/>
        <v>4.4043807875520369E-2</v>
      </c>
      <c r="J70">
        <f t="shared" si="6"/>
        <v>4.4043807875520369E-2</v>
      </c>
    </row>
    <row r="71" spans="4:10" x14ac:dyDescent="0.25">
      <c r="D71">
        <v>65</v>
      </c>
      <c r="E71">
        <f t="shared" si="7"/>
        <v>4.1946483690971779E-2</v>
      </c>
      <c r="F71">
        <f t="shared" si="3"/>
        <v>4.1946483690971779E-2</v>
      </c>
      <c r="G71">
        <f t="shared" si="3"/>
        <v>4.1946483690971779E-2</v>
      </c>
      <c r="H71">
        <f t="shared" si="3"/>
        <v>4.1946483690971779E-2</v>
      </c>
      <c r="I71">
        <f t="shared" si="6"/>
        <v>4.1946483690971779E-2</v>
      </c>
      <c r="J71">
        <f t="shared" si="6"/>
        <v>4.1946483690971779E-2</v>
      </c>
    </row>
    <row r="72" spans="4:10" x14ac:dyDescent="0.25">
      <c r="D72">
        <v>66</v>
      </c>
      <c r="E72">
        <f t="shared" ref="E72:E83" si="8">$E$6/POWER((1+$E$5),D72)</f>
        <v>3.9949032086639788E-2</v>
      </c>
      <c r="F72">
        <f t="shared" ref="F72:J84" si="9">$E$1/POWER((1+$E$5),$D72)</f>
        <v>3.9949032086639788E-2</v>
      </c>
      <c r="G72">
        <f t="shared" si="9"/>
        <v>3.9949032086639788E-2</v>
      </c>
      <c r="H72">
        <f t="shared" si="9"/>
        <v>3.9949032086639788E-2</v>
      </c>
      <c r="I72">
        <f t="shared" si="6"/>
        <v>3.9949032086639788E-2</v>
      </c>
      <c r="J72">
        <f t="shared" si="6"/>
        <v>3.9949032086639788E-2</v>
      </c>
    </row>
    <row r="73" spans="4:10" x14ac:dyDescent="0.25">
      <c r="D73">
        <v>67</v>
      </c>
      <c r="E73">
        <f t="shared" si="8"/>
        <v>3.8046697225371226E-2</v>
      </c>
      <c r="F73">
        <f t="shared" si="9"/>
        <v>3.8046697225371226E-2</v>
      </c>
      <c r="G73">
        <f t="shared" si="9"/>
        <v>3.8046697225371226E-2</v>
      </c>
      <c r="H73">
        <f t="shared" si="9"/>
        <v>3.8046697225371226E-2</v>
      </c>
      <c r="I73">
        <f t="shared" si="9"/>
        <v>3.8046697225371226E-2</v>
      </c>
      <c r="J73">
        <f t="shared" si="6"/>
        <v>3.8046697225371226E-2</v>
      </c>
    </row>
    <row r="74" spans="4:10" x14ac:dyDescent="0.25">
      <c r="D74">
        <v>68</v>
      </c>
      <c r="E74">
        <f t="shared" si="8"/>
        <v>3.6234949738448791E-2</v>
      </c>
      <c r="F74">
        <f t="shared" si="9"/>
        <v>3.6234949738448791E-2</v>
      </c>
      <c r="G74">
        <f t="shared" si="9"/>
        <v>3.6234949738448791E-2</v>
      </c>
      <c r="H74">
        <f t="shared" si="9"/>
        <v>3.6234949738448791E-2</v>
      </c>
      <c r="I74">
        <f t="shared" si="9"/>
        <v>3.6234949738448791E-2</v>
      </c>
      <c r="J74">
        <f t="shared" si="9"/>
        <v>3.6234949738448791E-2</v>
      </c>
    </row>
    <row r="75" spans="4:10" x14ac:dyDescent="0.25">
      <c r="D75">
        <v>69</v>
      </c>
      <c r="E75">
        <f t="shared" si="8"/>
        <v>3.4509475941379798E-2</v>
      </c>
      <c r="F75">
        <f t="shared" si="9"/>
        <v>3.4509475941379798E-2</v>
      </c>
      <c r="G75">
        <f t="shared" si="9"/>
        <v>3.4509475941379798E-2</v>
      </c>
      <c r="H75">
        <f t="shared" si="9"/>
        <v>3.4509475941379798E-2</v>
      </c>
      <c r="I75">
        <f t="shared" si="9"/>
        <v>3.4509475941379798E-2</v>
      </c>
      <c r="J75">
        <f t="shared" si="9"/>
        <v>3.4509475941379798E-2</v>
      </c>
    </row>
    <row r="76" spans="4:10" x14ac:dyDescent="0.25">
      <c r="D76">
        <v>70</v>
      </c>
      <c r="E76">
        <f t="shared" si="8"/>
        <v>3.2866167563218862E-2</v>
      </c>
      <c r="F76">
        <f t="shared" si="9"/>
        <v>3.2866167563218862E-2</v>
      </c>
      <c r="G76">
        <f t="shared" si="9"/>
        <v>3.2866167563218862E-2</v>
      </c>
      <c r="H76">
        <f t="shared" si="9"/>
        <v>3.2866167563218862E-2</v>
      </c>
      <c r="I76">
        <f t="shared" si="9"/>
        <v>3.2866167563218862E-2</v>
      </c>
      <c r="J76">
        <f t="shared" si="9"/>
        <v>3.2866167563218862E-2</v>
      </c>
    </row>
    <row r="77" spans="4:10" x14ac:dyDescent="0.25">
      <c r="D77">
        <v>71</v>
      </c>
      <c r="E77">
        <f t="shared" si="8"/>
        <v>3.1301111964970339E-2</v>
      </c>
      <c r="F77">
        <f t="shared" si="9"/>
        <v>3.1301111964970339E-2</v>
      </c>
      <c r="G77">
        <f t="shared" si="9"/>
        <v>3.1301111964970339E-2</v>
      </c>
      <c r="H77">
        <f t="shared" si="9"/>
        <v>3.1301111964970339E-2</v>
      </c>
      <c r="I77">
        <f t="shared" si="9"/>
        <v>3.1301111964970339E-2</v>
      </c>
      <c r="J77">
        <f t="shared" si="9"/>
        <v>3.1301111964970339E-2</v>
      </c>
    </row>
    <row r="78" spans="4:10" x14ac:dyDescent="0.25">
      <c r="D78">
        <v>72</v>
      </c>
      <c r="E78">
        <f t="shared" si="8"/>
        <v>2.9810582823781274E-2</v>
      </c>
      <c r="F78">
        <f t="shared" si="9"/>
        <v>2.9810582823781274E-2</v>
      </c>
      <c r="G78">
        <f t="shared" si="9"/>
        <v>2.9810582823781274E-2</v>
      </c>
      <c r="H78">
        <f t="shared" si="9"/>
        <v>2.9810582823781274E-2</v>
      </c>
      <c r="I78">
        <f t="shared" si="9"/>
        <v>2.9810582823781274E-2</v>
      </c>
      <c r="J78">
        <f t="shared" si="9"/>
        <v>2.9810582823781274E-2</v>
      </c>
    </row>
    <row r="79" spans="4:10" x14ac:dyDescent="0.25">
      <c r="D79">
        <v>73</v>
      </c>
      <c r="E79">
        <f t="shared" si="8"/>
        <v>2.8391031260744073E-2</v>
      </c>
      <c r="F79">
        <f t="shared" si="9"/>
        <v>2.8391031260744073E-2</v>
      </c>
      <c r="G79">
        <f t="shared" si="9"/>
        <v>2.8391031260744073E-2</v>
      </c>
      <c r="H79">
        <f t="shared" si="9"/>
        <v>2.8391031260744073E-2</v>
      </c>
      <c r="I79">
        <f t="shared" si="9"/>
        <v>2.8391031260744073E-2</v>
      </c>
      <c r="J79">
        <f t="shared" si="9"/>
        <v>2.8391031260744073E-2</v>
      </c>
    </row>
    <row r="80" spans="4:10" x14ac:dyDescent="0.25">
      <c r="D80">
        <v>74</v>
      </c>
      <c r="E80">
        <f t="shared" si="8"/>
        <v>2.7039077391184833E-2</v>
      </c>
      <c r="F80">
        <f t="shared" si="9"/>
        <v>2.7039077391184833E-2</v>
      </c>
      <c r="G80">
        <f t="shared" si="9"/>
        <v>2.7039077391184833E-2</v>
      </c>
      <c r="H80">
        <f t="shared" si="9"/>
        <v>2.7039077391184833E-2</v>
      </c>
      <c r="I80">
        <f t="shared" si="9"/>
        <v>2.7039077391184833E-2</v>
      </c>
      <c r="J80">
        <f t="shared" si="9"/>
        <v>2.7039077391184833E-2</v>
      </c>
    </row>
    <row r="81" spans="4:10" x14ac:dyDescent="0.25">
      <c r="D81">
        <v>75</v>
      </c>
      <c r="E81">
        <f t="shared" si="8"/>
        <v>2.5751502277318886E-2</v>
      </c>
      <c r="F81">
        <f t="shared" si="9"/>
        <v>2.5751502277318886E-2</v>
      </c>
      <c r="G81">
        <f t="shared" si="9"/>
        <v>2.5751502277318886E-2</v>
      </c>
      <c r="H81">
        <f t="shared" si="9"/>
        <v>2.5751502277318886E-2</v>
      </c>
      <c r="I81">
        <f t="shared" si="9"/>
        <v>2.5751502277318886E-2</v>
      </c>
      <c r="J81">
        <f t="shared" si="9"/>
        <v>2.5751502277318886E-2</v>
      </c>
    </row>
    <row r="82" spans="4:10" x14ac:dyDescent="0.25">
      <c r="D82">
        <v>76</v>
      </c>
      <c r="E82">
        <f t="shared" si="8"/>
        <v>2.4525240264113228E-2</v>
      </c>
      <c r="F82">
        <f t="shared" si="9"/>
        <v>2.4525240264113228E-2</v>
      </c>
      <c r="G82">
        <f t="shared" si="9"/>
        <v>2.4525240264113228E-2</v>
      </c>
      <c r="H82">
        <f t="shared" si="9"/>
        <v>2.4525240264113228E-2</v>
      </c>
      <c r="I82">
        <f t="shared" si="9"/>
        <v>2.4525240264113228E-2</v>
      </c>
      <c r="J82">
        <f t="shared" si="9"/>
        <v>2.4525240264113228E-2</v>
      </c>
    </row>
    <row r="83" spans="4:10" x14ac:dyDescent="0.25">
      <c r="D83">
        <v>77</v>
      </c>
      <c r="E83">
        <f>$E$6/POWER((1+$E$5),D83)</f>
        <v>2.3357371680107829E-2</v>
      </c>
      <c r="F83">
        <f t="shared" si="9"/>
        <v>2.3357371680107829E-2</v>
      </c>
      <c r="G83">
        <f t="shared" si="9"/>
        <v>2.3357371680107829E-2</v>
      </c>
      <c r="H83">
        <f t="shared" si="9"/>
        <v>2.3357371680107829E-2</v>
      </c>
      <c r="I83">
        <f t="shared" si="9"/>
        <v>2.3357371680107829E-2</v>
      </c>
      <c r="J83">
        <f t="shared" si="9"/>
        <v>2.3357371680107829E-2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468F-0932-4E18-87D8-DBD1B16A0566}">
  <sheetPr codeName="Hoja2"/>
  <dimension ref="A1:K477"/>
  <sheetViews>
    <sheetView zoomScaleNormal="100" workbookViewId="0">
      <selection activeCell="C27" sqref="C27"/>
    </sheetView>
  </sheetViews>
  <sheetFormatPr baseColWidth="10" defaultRowHeight="15" x14ac:dyDescent="0.25"/>
  <cols>
    <col min="1" max="1" width="40.7109375" bestFit="1" customWidth="1"/>
    <col min="2" max="2" width="22.28515625" customWidth="1"/>
    <col min="3" max="3" width="24" customWidth="1"/>
    <col min="4" max="5" width="25.140625" customWidth="1"/>
    <col min="6" max="6" width="20.140625" customWidth="1"/>
    <col min="8" max="11" width="11.5703125"/>
  </cols>
  <sheetData>
    <row r="1" spans="1:11" x14ac:dyDescent="0.25">
      <c r="A1" s="1" t="s">
        <v>1</v>
      </c>
      <c r="B1" s="10" t="s">
        <v>0</v>
      </c>
      <c r="C1" s="10" t="s">
        <v>19</v>
      </c>
      <c r="D1" s="10" t="s">
        <v>20</v>
      </c>
      <c r="E1" s="10" t="s">
        <v>43</v>
      </c>
      <c r="F1" s="10" t="s">
        <v>21</v>
      </c>
      <c r="G1" s="35" t="s">
        <v>4</v>
      </c>
    </row>
    <row r="2" spans="1:11" x14ac:dyDescent="0.25">
      <c r="A2" s="2" t="s">
        <v>41</v>
      </c>
      <c r="B2" s="5" t="s">
        <v>42</v>
      </c>
      <c r="C2" s="40">
        <v>10</v>
      </c>
      <c r="D2" s="40">
        <v>10</v>
      </c>
      <c r="E2" s="40">
        <v>10</v>
      </c>
      <c r="F2" s="40">
        <v>10</v>
      </c>
      <c r="G2" s="40">
        <v>0</v>
      </c>
    </row>
    <row r="3" spans="1:11" x14ac:dyDescent="0.25">
      <c r="A3" s="11" t="s">
        <v>72</v>
      </c>
      <c r="B3" s="6" t="s">
        <v>89</v>
      </c>
      <c r="C3" s="40">
        <v>0.01</v>
      </c>
      <c r="D3" s="40">
        <v>0.01</v>
      </c>
      <c r="E3" s="40">
        <v>0.01</v>
      </c>
      <c r="F3" s="40">
        <v>0.01</v>
      </c>
      <c r="G3" s="41">
        <v>0</v>
      </c>
      <c r="H3" s="36"/>
      <c r="I3" s="25"/>
      <c r="K3" s="29"/>
    </row>
    <row r="4" spans="1:11" x14ac:dyDescent="0.25">
      <c r="A4" s="11" t="s">
        <v>73</v>
      </c>
      <c r="B4" s="5" t="s">
        <v>78</v>
      </c>
      <c r="C4" s="40">
        <v>0.01</v>
      </c>
      <c r="D4" s="40">
        <v>0.01</v>
      </c>
      <c r="E4" s="40">
        <v>0.01</v>
      </c>
      <c r="F4" s="40">
        <v>0.01</v>
      </c>
      <c r="G4" s="41">
        <v>0</v>
      </c>
      <c r="H4" s="36"/>
      <c r="I4" s="25"/>
      <c r="K4" s="37"/>
    </row>
    <row r="5" spans="1:11" x14ac:dyDescent="0.25">
      <c r="A5" s="11" t="s">
        <v>74</v>
      </c>
      <c r="B5" s="5" t="s">
        <v>79</v>
      </c>
      <c r="C5" s="40">
        <v>0.01</v>
      </c>
      <c r="D5" s="40">
        <v>0.01</v>
      </c>
      <c r="E5" s="40">
        <v>0.01</v>
      </c>
      <c r="F5" s="40">
        <v>0.01</v>
      </c>
      <c r="G5" s="41">
        <v>0</v>
      </c>
      <c r="H5" s="36"/>
      <c r="I5" s="25"/>
      <c r="K5" s="37"/>
    </row>
    <row r="6" spans="1:11" x14ac:dyDescent="0.25">
      <c r="A6" s="11" t="s">
        <v>75</v>
      </c>
      <c r="B6" s="5" t="s">
        <v>80</v>
      </c>
      <c r="C6" s="40">
        <v>0.01</v>
      </c>
      <c r="D6" s="40">
        <v>0.01</v>
      </c>
      <c r="E6" s="40">
        <v>0.01</v>
      </c>
      <c r="F6" s="40">
        <v>0.01</v>
      </c>
      <c r="G6" s="41">
        <v>0</v>
      </c>
      <c r="H6" s="36"/>
      <c r="I6" s="25"/>
      <c r="K6" s="29"/>
    </row>
    <row r="7" spans="1:11" x14ac:dyDescent="0.25">
      <c r="A7" s="38" t="s">
        <v>88</v>
      </c>
      <c r="B7" s="5" t="s">
        <v>81</v>
      </c>
      <c r="C7" s="40">
        <v>0.01</v>
      </c>
      <c r="D7" s="40">
        <v>0.01</v>
      </c>
      <c r="E7" s="40">
        <v>0.01</v>
      </c>
      <c r="F7" s="40">
        <v>0.01</v>
      </c>
      <c r="G7" s="41">
        <v>0</v>
      </c>
      <c r="H7" s="36"/>
      <c r="I7" s="25"/>
      <c r="K7" s="29"/>
    </row>
    <row r="8" spans="1:11" x14ac:dyDescent="0.25">
      <c r="A8" s="38" t="s">
        <v>84</v>
      </c>
      <c r="B8" s="5" t="s">
        <v>121</v>
      </c>
      <c r="C8" s="40">
        <v>6.1400000000000003E-2</v>
      </c>
      <c r="D8" s="40">
        <v>6.1400000000000003E-2</v>
      </c>
      <c r="E8" s="40">
        <v>6.1400000000000003E-2</v>
      </c>
      <c r="F8" s="40">
        <v>6.1400000000000003E-2</v>
      </c>
      <c r="G8" s="40">
        <v>0</v>
      </c>
    </row>
    <row r="9" spans="1:11" ht="14.25" customHeight="1" x14ac:dyDescent="0.25">
      <c r="A9" s="38" t="s">
        <v>85</v>
      </c>
      <c r="B9" s="5" t="s">
        <v>122</v>
      </c>
      <c r="C9" s="42">
        <v>1.0699999999999999E-2</v>
      </c>
      <c r="D9" s="42">
        <v>1.0699999999999999E-2</v>
      </c>
      <c r="E9" s="42">
        <v>1.0699999999999999E-2</v>
      </c>
      <c r="F9" s="42">
        <v>1.0699999999999999E-2</v>
      </c>
      <c r="G9" s="40">
        <v>0</v>
      </c>
    </row>
    <row r="10" spans="1:11" x14ac:dyDescent="0.25">
      <c r="A10" s="38" t="s">
        <v>86</v>
      </c>
      <c r="B10" s="5" t="s">
        <v>99</v>
      </c>
      <c r="C10" s="39">
        <v>6.25</v>
      </c>
      <c r="D10" s="39">
        <v>6.25</v>
      </c>
      <c r="E10" s="39">
        <v>6.25</v>
      </c>
      <c r="F10" s="39">
        <v>6.25</v>
      </c>
      <c r="G10" s="40">
        <v>0</v>
      </c>
    </row>
    <row r="11" spans="1:11" x14ac:dyDescent="0.25">
      <c r="A11" s="38" t="s">
        <v>87</v>
      </c>
      <c r="B11" s="5" t="s">
        <v>100</v>
      </c>
      <c r="C11" s="39">
        <v>1.81</v>
      </c>
      <c r="D11" s="39">
        <v>1.81</v>
      </c>
      <c r="E11" s="39">
        <v>1.81</v>
      </c>
      <c r="F11" s="39">
        <v>1.81</v>
      </c>
      <c r="G11" s="40">
        <v>0</v>
      </c>
    </row>
    <row r="12" spans="1:11" x14ac:dyDescent="0.25">
      <c r="A12" s="38" t="s">
        <v>101</v>
      </c>
      <c r="B12" s="5" t="s">
        <v>103</v>
      </c>
      <c r="C12" s="39">
        <v>1.96</v>
      </c>
      <c r="D12" s="39">
        <v>1.96</v>
      </c>
      <c r="E12" s="39">
        <v>1.96</v>
      </c>
      <c r="F12" s="39">
        <v>1.96</v>
      </c>
      <c r="G12" s="40">
        <v>0</v>
      </c>
    </row>
    <row r="13" spans="1:11" x14ac:dyDescent="0.25">
      <c r="A13" s="38" t="s">
        <v>102</v>
      </c>
      <c r="B13" s="5" t="s">
        <v>104</v>
      </c>
      <c r="C13" s="39">
        <v>1.52</v>
      </c>
      <c r="D13" s="39">
        <v>1.52</v>
      </c>
      <c r="E13" s="39">
        <v>1.52</v>
      </c>
      <c r="F13" s="39">
        <v>1.52</v>
      </c>
      <c r="G13" s="40">
        <v>0</v>
      </c>
    </row>
    <row r="14" spans="1:11" x14ac:dyDescent="0.25">
      <c r="A14" s="38" t="s">
        <v>120</v>
      </c>
      <c r="B14" s="5" t="s">
        <v>105</v>
      </c>
      <c r="C14" s="39">
        <v>1.96</v>
      </c>
      <c r="D14" s="39">
        <v>1.96</v>
      </c>
      <c r="E14" s="39">
        <v>1.96</v>
      </c>
      <c r="F14" s="39">
        <v>1.96</v>
      </c>
      <c r="G14" s="40">
        <v>0</v>
      </c>
    </row>
    <row r="15" spans="1:11" x14ac:dyDescent="0.25">
      <c r="A15" s="38" t="s">
        <v>119</v>
      </c>
      <c r="B15" s="5" t="s">
        <v>106</v>
      </c>
      <c r="C15" s="39">
        <v>1.52</v>
      </c>
      <c r="D15" s="39">
        <v>1.52</v>
      </c>
      <c r="E15" s="39">
        <v>1.52</v>
      </c>
      <c r="F15" s="39">
        <v>1.52</v>
      </c>
      <c r="G15" s="40">
        <v>0</v>
      </c>
    </row>
    <row r="16" spans="1:11" x14ac:dyDescent="0.25">
      <c r="A16" s="38" t="s">
        <v>118</v>
      </c>
      <c r="B16" s="5" t="s">
        <v>107</v>
      </c>
      <c r="C16" s="39">
        <v>1.96</v>
      </c>
      <c r="D16" s="39">
        <v>1.96</v>
      </c>
      <c r="E16" s="39">
        <v>1.96</v>
      </c>
      <c r="F16" s="39">
        <v>1.96</v>
      </c>
      <c r="G16" s="40">
        <v>0</v>
      </c>
    </row>
    <row r="17" spans="1:7" x14ac:dyDescent="0.25">
      <c r="A17" s="38" t="s">
        <v>117</v>
      </c>
      <c r="B17" s="5" t="s">
        <v>108</v>
      </c>
      <c r="C17" s="39">
        <v>1.52</v>
      </c>
      <c r="D17" s="39">
        <v>1.52</v>
      </c>
      <c r="E17" s="39">
        <v>1.52</v>
      </c>
      <c r="F17" s="39">
        <v>1.52</v>
      </c>
      <c r="G17" s="40">
        <v>0</v>
      </c>
    </row>
    <row r="18" spans="1:7" x14ac:dyDescent="0.25">
      <c r="A18" s="38" t="s">
        <v>116</v>
      </c>
      <c r="B18" s="5" t="s">
        <v>109</v>
      </c>
      <c r="C18" s="39">
        <v>1.96</v>
      </c>
      <c r="D18" s="39">
        <v>1.96</v>
      </c>
      <c r="E18" s="39">
        <v>1.96</v>
      </c>
      <c r="F18" s="39">
        <v>1.96</v>
      </c>
      <c r="G18" s="40">
        <v>0</v>
      </c>
    </row>
    <row r="19" spans="1:7" x14ac:dyDescent="0.25">
      <c r="A19" s="38" t="s">
        <v>115</v>
      </c>
      <c r="B19" s="5" t="s">
        <v>110</v>
      </c>
      <c r="C19" s="39">
        <v>1.52</v>
      </c>
      <c r="D19" s="39">
        <v>1.52</v>
      </c>
      <c r="E19" s="39">
        <v>1.52</v>
      </c>
      <c r="F19" s="39">
        <v>1.52</v>
      </c>
      <c r="G19" s="40">
        <v>0</v>
      </c>
    </row>
    <row r="20" spans="1:7" x14ac:dyDescent="0.25">
      <c r="A20" s="38" t="s">
        <v>114</v>
      </c>
      <c r="B20" s="5" t="s">
        <v>111</v>
      </c>
      <c r="C20" s="39">
        <v>1.96</v>
      </c>
      <c r="D20" s="39">
        <v>1.96</v>
      </c>
      <c r="E20" s="39">
        <v>1.96</v>
      </c>
      <c r="F20" s="39">
        <v>1.96</v>
      </c>
      <c r="G20" s="40">
        <v>0</v>
      </c>
    </row>
    <row r="21" spans="1:7" x14ac:dyDescent="0.25">
      <c r="A21" s="38" t="s">
        <v>113</v>
      </c>
      <c r="B21" s="5" t="s">
        <v>112</v>
      </c>
      <c r="C21" s="39">
        <v>1.52</v>
      </c>
      <c r="D21" s="39">
        <v>1.52</v>
      </c>
      <c r="E21" s="39">
        <v>1.52</v>
      </c>
      <c r="F21" s="39">
        <v>1.52</v>
      </c>
      <c r="G21" s="40">
        <v>0</v>
      </c>
    </row>
    <row r="22" spans="1:7" x14ac:dyDescent="0.25">
      <c r="A22" s="38" t="s">
        <v>90</v>
      </c>
      <c r="B22" s="58" t="s">
        <v>91</v>
      </c>
      <c r="C22" s="54">
        <v>5</v>
      </c>
      <c r="D22" s="54">
        <v>5</v>
      </c>
      <c r="E22" s="54">
        <v>5</v>
      </c>
      <c r="F22" s="54">
        <v>5</v>
      </c>
      <c r="G22" s="16">
        <v>0</v>
      </c>
    </row>
    <row r="23" spans="1:7" x14ac:dyDescent="0.25">
      <c r="A23" s="38" t="s">
        <v>92</v>
      </c>
      <c r="B23" s="58" t="s">
        <v>93</v>
      </c>
      <c r="C23" s="53">
        <v>5</v>
      </c>
      <c r="D23" s="53">
        <v>5</v>
      </c>
      <c r="E23" s="53">
        <v>5</v>
      </c>
      <c r="F23" s="53">
        <v>5</v>
      </c>
      <c r="G23" s="16">
        <v>0</v>
      </c>
    </row>
    <row r="24" spans="1:7" x14ac:dyDescent="0.25">
      <c r="A24" s="38" t="s">
        <v>97</v>
      </c>
      <c r="B24" s="53" t="s">
        <v>98</v>
      </c>
      <c r="C24" s="53">
        <v>3.016</v>
      </c>
      <c r="D24" s="53">
        <v>3.016</v>
      </c>
      <c r="E24" s="53">
        <v>3.016</v>
      </c>
      <c r="F24" s="53">
        <v>3.016</v>
      </c>
      <c r="G24" s="16">
        <v>0</v>
      </c>
    </row>
    <row r="25" spans="1:7" x14ac:dyDescent="0.25">
      <c r="B25" s="4"/>
      <c r="C25" s="4"/>
      <c r="D25" s="4"/>
      <c r="E25" s="4"/>
      <c r="F25" s="4"/>
      <c r="G25" s="25"/>
    </row>
    <row r="26" spans="1:7" x14ac:dyDescent="0.25">
      <c r="B26" s="4"/>
      <c r="C26" s="4"/>
      <c r="D26" s="4"/>
      <c r="E26" s="4"/>
      <c r="F26" s="4"/>
      <c r="G26" s="25"/>
    </row>
    <row r="27" spans="1:7" x14ac:dyDescent="0.25">
      <c r="B27" s="4"/>
      <c r="C27" s="4"/>
      <c r="D27" s="4"/>
      <c r="E27" s="4"/>
      <c r="F27" s="4"/>
      <c r="G27" s="25"/>
    </row>
    <row r="28" spans="1:7" x14ac:dyDescent="0.25">
      <c r="B28" s="4"/>
      <c r="C28" s="4"/>
      <c r="D28" s="4"/>
      <c r="E28" s="4"/>
      <c r="F28" s="4"/>
      <c r="G28" s="25"/>
    </row>
    <row r="29" spans="1:7" x14ac:dyDescent="0.25">
      <c r="B29" s="4"/>
      <c r="C29" s="4"/>
      <c r="D29" s="4"/>
      <c r="E29" s="4"/>
      <c r="F29" s="4"/>
      <c r="G29" s="25"/>
    </row>
    <row r="30" spans="1:7" x14ac:dyDescent="0.25">
      <c r="B30" s="4"/>
      <c r="C30" s="4"/>
      <c r="D30" s="4"/>
      <c r="E30" s="4"/>
      <c r="F30" s="4"/>
      <c r="G30" s="25"/>
    </row>
    <row r="31" spans="1:7" x14ac:dyDescent="0.25">
      <c r="B31" s="4"/>
      <c r="C31" s="4"/>
      <c r="D31" s="4"/>
      <c r="E31" s="4"/>
      <c r="F31" s="4"/>
      <c r="G31" s="25"/>
    </row>
    <row r="32" spans="1:7" x14ac:dyDescent="0.25">
      <c r="B32" s="4"/>
      <c r="C32" s="4"/>
      <c r="D32" s="4"/>
      <c r="E32" s="4"/>
      <c r="F32" s="4"/>
      <c r="G32" s="25"/>
    </row>
    <row r="33" spans="2:9" x14ac:dyDescent="0.25">
      <c r="B33" s="4"/>
      <c r="C33" s="24"/>
      <c r="D33" s="24"/>
      <c r="E33" s="24"/>
      <c r="F33" s="24"/>
      <c r="G33" s="25"/>
    </row>
    <row r="34" spans="2:9" x14ac:dyDescent="0.25">
      <c r="B34" s="4"/>
      <c r="C34" s="24"/>
      <c r="D34" s="24"/>
      <c r="E34" s="24"/>
      <c r="F34" s="24"/>
      <c r="G34" s="25"/>
    </row>
    <row r="35" spans="2:9" x14ac:dyDescent="0.25">
      <c r="B35" s="4"/>
      <c r="C35" s="4"/>
      <c r="D35" s="4"/>
      <c r="E35" s="4"/>
      <c r="F35" s="4"/>
      <c r="G35" s="25"/>
    </row>
    <row r="36" spans="2:9" x14ac:dyDescent="0.25">
      <c r="B36" s="4"/>
      <c r="C36" s="4"/>
      <c r="D36" s="4"/>
      <c r="E36" s="4"/>
      <c r="F36" s="4"/>
      <c r="G36" s="25"/>
      <c r="I36" s="26"/>
    </row>
    <row r="37" spans="2:9" x14ac:dyDescent="0.25">
      <c r="B37" s="4"/>
      <c r="C37" s="26"/>
      <c r="D37" s="26"/>
      <c r="E37" s="26"/>
      <c r="F37" s="26"/>
      <c r="G37" s="25"/>
      <c r="I37" s="27"/>
    </row>
    <row r="38" spans="2:9" x14ac:dyDescent="0.25">
      <c r="B38" s="4"/>
      <c r="C38" s="27"/>
      <c r="D38" s="27"/>
      <c r="E38" s="27"/>
      <c r="F38" s="27"/>
      <c r="G38" s="25"/>
    </row>
    <row r="39" spans="2:9" x14ac:dyDescent="0.25">
      <c r="B39" s="4"/>
      <c r="C39" s="4"/>
      <c r="D39" s="4"/>
      <c r="E39" s="4"/>
      <c r="F39" s="4"/>
      <c r="G39" s="25"/>
    </row>
    <row r="40" spans="2:9" x14ac:dyDescent="0.25">
      <c r="B40" s="4"/>
      <c r="C40" s="4"/>
      <c r="D40" s="4"/>
      <c r="E40" s="4"/>
      <c r="F40" s="4"/>
      <c r="G40" s="25"/>
    </row>
    <row r="41" spans="2:9" x14ac:dyDescent="0.25">
      <c r="B41" s="4"/>
      <c r="C41" s="4"/>
      <c r="D41" s="4"/>
      <c r="E41" s="4"/>
      <c r="F41" s="4"/>
      <c r="G41" s="25"/>
    </row>
    <row r="42" spans="2:9" x14ac:dyDescent="0.25">
      <c r="B42" s="4"/>
      <c r="C42" s="4"/>
      <c r="D42" s="4"/>
      <c r="E42" s="4"/>
      <c r="F42" s="4"/>
      <c r="G42" s="25"/>
    </row>
    <row r="43" spans="2:9" x14ac:dyDescent="0.25">
      <c r="B43" s="4"/>
      <c r="C43" s="4"/>
      <c r="D43" s="4"/>
      <c r="E43" s="4"/>
      <c r="F43" s="4"/>
      <c r="G43" s="25"/>
    </row>
    <row r="44" spans="2:9" x14ac:dyDescent="0.25">
      <c r="B44" s="4"/>
      <c r="C44" s="4"/>
      <c r="D44" s="4"/>
      <c r="E44" s="4"/>
      <c r="F44" s="4"/>
      <c r="G44" s="25"/>
    </row>
    <row r="45" spans="2:9" x14ac:dyDescent="0.25">
      <c r="B45" s="4"/>
      <c r="C45" s="4"/>
      <c r="D45" s="4"/>
      <c r="E45" s="4"/>
      <c r="F45" s="4"/>
      <c r="G45" s="25"/>
    </row>
    <row r="46" spans="2:9" x14ac:dyDescent="0.25">
      <c r="B46" s="4"/>
      <c r="C46" s="4"/>
      <c r="D46" s="4"/>
      <c r="E46" s="4"/>
      <c r="F46" s="4"/>
      <c r="G46" s="25"/>
    </row>
    <row r="47" spans="2:9" x14ac:dyDescent="0.25">
      <c r="B47" s="4"/>
      <c r="C47" s="4"/>
      <c r="D47" s="4"/>
      <c r="E47" s="4"/>
      <c r="F47" s="4"/>
      <c r="G47" s="25"/>
    </row>
    <row r="48" spans="2:9" x14ac:dyDescent="0.25">
      <c r="B48" s="4"/>
      <c r="C48" s="4"/>
      <c r="D48" s="4"/>
      <c r="E48" s="4"/>
      <c r="F48" s="4"/>
      <c r="G48" s="25"/>
    </row>
    <row r="49" spans="2:7" x14ac:dyDescent="0.25">
      <c r="B49" s="4"/>
      <c r="C49" s="4"/>
      <c r="D49" s="4"/>
      <c r="E49" s="4"/>
      <c r="F49" s="4"/>
      <c r="G49" s="25"/>
    </row>
    <row r="50" spans="2:7" x14ac:dyDescent="0.25">
      <c r="B50" s="4"/>
      <c r="C50" s="4"/>
      <c r="D50" s="4"/>
      <c r="E50" s="4"/>
      <c r="F50" s="4"/>
      <c r="G50" s="25"/>
    </row>
    <row r="51" spans="2:7" x14ac:dyDescent="0.25">
      <c r="B51" s="4"/>
      <c r="C51" s="4"/>
      <c r="D51" s="4"/>
      <c r="E51" s="4"/>
      <c r="F51" s="4"/>
      <c r="G51" s="25"/>
    </row>
    <row r="52" spans="2:7" x14ac:dyDescent="0.25">
      <c r="B52" s="4"/>
      <c r="C52" s="4"/>
      <c r="D52" s="4"/>
      <c r="E52" s="4"/>
      <c r="F52" s="4"/>
      <c r="G52" s="25"/>
    </row>
    <row r="53" spans="2:7" x14ac:dyDescent="0.25">
      <c r="B53" s="4"/>
      <c r="C53" s="4"/>
      <c r="D53" s="4"/>
      <c r="E53" s="4"/>
      <c r="F53" s="4"/>
      <c r="G53" s="25"/>
    </row>
    <row r="54" spans="2:7" x14ac:dyDescent="0.25">
      <c r="B54" s="4"/>
      <c r="C54" s="4"/>
      <c r="D54" s="4"/>
      <c r="E54" s="4"/>
      <c r="F54" s="4"/>
      <c r="G54" s="25"/>
    </row>
    <row r="55" spans="2:7" x14ac:dyDescent="0.25">
      <c r="B55" s="4"/>
      <c r="C55" s="4"/>
      <c r="D55" s="4"/>
      <c r="E55" s="4"/>
      <c r="F55" s="4"/>
      <c r="G55" s="25"/>
    </row>
    <row r="56" spans="2:7" x14ac:dyDescent="0.25">
      <c r="B56" s="4"/>
      <c r="C56" s="4"/>
      <c r="D56" s="4"/>
      <c r="E56" s="4"/>
      <c r="F56" s="4"/>
      <c r="G56" s="25"/>
    </row>
    <row r="57" spans="2:7" x14ac:dyDescent="0.25">
      <c r="B57" s="4"/>
      <c r="C57" s="4"/>
      <c r="D57" s="4"/>
      <c r="E57" s="4"/>
      <c r="F57" s="4"/>
      <c r="G57" s="25"/>
    </row>
    <row r="58" spans="2:7" x14ac:dyDescent="0.25">
      <c r="B58" s="4"/>
      <c r="C58" s="4"/>
      <c r="D58" s="4"/>
      <c r="E58" s="4"/>
      <c r="F58" s="4"/>
      <c r="G58" s="25"/>
    </row>
    <row r="59" spans="2:7" x14ac:dyDescent="0.25">
      <c r="B59" s="4"/>
      <c r="C59" s="4"/>
      <c r="D59" s="4"/>
      <c r="E59" s="4"/>
      <c r="F59" s="4"/>
      <c r="G59" s="25"/>
    </row>
    <row r="60" spans="2:7" x14ac:dyDescent="0.25">
      <c r="B60" s="4"/>
      <c r="C60" s="4"/>
      <c r="D60" s="4"/>
      <c r="E60" s="4"/>
      <c r="F60" s="4"/>
      <c r="G60" s="25"/>
    </row>
    <row r="61" spans="2:7" x14ac:dyDescent="0.25">
      <c r="B61" s="4"/>
      <c r="C61" s="28"/>
      <c r="D61" s="28"/>
      <c r="E61" s="28"/>
      <c r="F61" s="28"/>
      <c r="G61" s="25"/>
    </row>
    <row r="62" spans="2:7" x14ac:dyDescent="0.25">
      <c r="B62" s="4"/>
      <c r="C62" s="28"/>
      <c r="D62" s="28"/>
      <c r="E62" s="28"/>
      <c r="F62" s="28"/>
      <c r="G62" s="25"/>
    </row>
    <row r="63" spans="2:7" x14ac:dyDescent="0.25">
      <c r="B63" s="4"/>
      <c r="C63" s="4"/>
      <c r="D63" s="4"/>
      <c r="E63" s="4"/>
      <c r="F63" s="4"/>
      <c r="G63" s="25"/>
    </row>
    <row r="64" spans="2:7" x14ac:dyDescent="0.25">
      <c r="B64" s="4"/>
      <c r="C64" s="4"/>
      <c r="D64" s="4"/>
      <c r="E64" s="4"/>
      <c r="F64" s="4"/>
      <c r="G64" s="25"/>
    </row>
    <row r="65" spans="2:7" x14ac:dyDescent="0.25">
      <c r="B65" s="4"/>
      <c r="C65" s="4"/>
      <c r="D65" s="4"/>
      <c r="E65" s="4"/>
      <c r="F65" s="4"/>
      <c r="G65" s="25"/>
    </row>
    <row r="66" spans="2:7" x14ac:dyDescent="0.25">
      <c r="B66" s="4"/>
      <c r="C66" s="4"/>
      <c r="D66" s="4"/>
      <c r="E66" s="4"/>
      <c r="F66" s="4"/>
      <c r="G66" s="25"/>
    </row>
    <row r="67" spans="2:7" x14ac:dyDescent="0.25">
      <c r="B67" s="4"/>
      <c r="C67" s="4"/>
      <c r="D67" s="4"/>
      <c r="E67" s="4"/>
      <c r="F67" s="4"/>
      <c r="G67" s="25"/>
    </row>
    <row r="68" spans="2:7" x14ac:dyDescent="0.25">
      <c r="B68" s="4"/>
      <c r="C68" s="29"/>
      <c r="D68" s="29"/>
      <c r="E68" s="29"/>
      <c r="F68" s="29"/>
      <c r="G68" s="25"/>
    </row>
    <row r="69" spans="2:7" x14ac:dyDescent="0.25">
      <c r="B69" s="4"/>
      <c r="C69" s="29"/>
      <c r="D69" s="29"/>
      <c r="E69" s="29"/>
      <c r="F69" s="29"/>
      <c r="G69" s="25"/>
    </row>
    <row r="70" spans="2:7" x14ac:dyDescent="0.25">
      <c r="B70" s="4"/>
      <c r="C70" s="29"/>
      <c r="D70" s="29"/>
      <c r="E70" s="29"/>
      <c r="F70" s="29"/>
      <c r="G70" s="25"/>
    </row>
    <row r="71" spans="2:7" x14ac:dyDescent="0.25">
      <c r="B71" s="4"/>
      <c r="C71" s="29"/>
      <c r="D71" s="29"/>
      <c r="E71" s="29"/>
      <c r="F71" s="29"/>
      <c r="G71" s="25"/>
    </row>
    <row r="72" spans="2:7" x14ac:dyDescent="0.25">
      <c r="B72" s="4"/>
      <c r="C72" s="29"/>
      <c r="D72" s="29"/>
      <c r="E72" s="29"/>
      <c r="F72" s="29"/>
      <c r="G72" s="25"/>
    </row>
    <row r="73" spans="2:7" x14ac:dyDescent="0.25">
      <c r="B73" s="4"/>
      <c r="C73" s="29"/>
      <c r="D73" s="29"/>
      <c r="E73" s="29"/>
      <c r="F73" s="29"/>
      <c r="G73" s="25"/>
    </row>
    <row r="74" spans="2:7" x14ac:dyDescent="0.25">
      <c r="B74" s="4"/>
      <c r="C74" s="29"/>
      <c r="D74" s="29"/>
      <c r="E74" s="29"/>
      <c r="F74" s="29"/>
      <c r="G74" s="25"/>
    </row>
    <row r="75" spans="2:7" x14ac:dyDescent="0.25">
      <c r="B75" s="4"/>
      <c r="C75" s="29"/>
      <c r="D75" s="29"/>
      <c r="E75" s="29"/>
      <c r="F75" s="29"/>
      <c r="G75" s="25"/>
    </row>
    <row r="76" spans="2:7" x14ac:dyDescent="0.25">
      <c r="B76" s="4"/>
      <c r="C76" s="29"/>
      <c r="D76" s="29"/>
      <c r="E76" s="29"/>
      <c r="F76" s="29"/>
      <c r="G76" s="25"/>
    </row>
    <row r="77" spans="2:7" x14ac:dyDescent="0.25">
      <c r="B77" s="4"/>
      <c r="C77" s="29"/>
      <c r="D77" s="29"/>
      <c r="E77" s="29"/>
      <c r="F77" s="29"/>
      <c r="G77" s="25"/>
    </row>
    <row r="78" spans="2:7" x14ac:dyDescent="0.25">
      <c r="B78" s="4"/>
      <c r="C78" s="4"/>
      <c r="D78" s="4"/>
      <c r="E78" s="4"/>
      <c r="F78" s="4"/>
      <c r="G78" s="25"/>
    </row>
    <row r="79" spans="2:7" x14ac:dyDescent="0.25">
      <c r="B79" s="4"/>
      <c r="C79" s="4"/>
      <c r="D79" s="4"/>
      <c r="E79" s="4"/>
      <c r="F79" s="4"/>
      <c r="G79" s="25"/>
    </row>
    <row r="80" spans="2:7" x14ac:dyDescent="0.25">
      <c r="B80" s="4"/>
      <c r="C80" s="4"/>
      <c r="D80" s="4"/>
      <c r="E80" s="4"/>
      <c r="F80" s="4"/>
      <c r="G80" s="25"/>
    </row>
    <row r="81" spans="2:7" x14ac:dyDescent="0.25">
      <c r="B81" s="4"/>
      <c r="C81" s="4"/>
      <c r="D81" s="4"/>
      <c r="E81" s="4"/>
      <c r="F81" s="4"/>
      <c r="G81" s="25"/>
    </row>
    <row r="82" spans="2:7" x14ac:dyDescent="0.25">
      <c r="B82" s="4"/>
      <c r="C82" s="4"/>
      <c r="D82" s="4"/>
      <c r="E82" s="4"/>
      <c r="F82" s="4"/>
      <c r="G82" s="25"/>
    </row>
    <row r="83" spans="2:7" x14ac:dyDescent="0.25">
      <c r="B83" s="4"/>
      <c r="C83" s="4"/>
      <c r="D83" s="4"/>
      <c r="E83" s="4"/>
      <c r="F83" s="4"/>
      <c r="G83" s="25"/>
    </row>
    <row r="84" spans="2:7" x14ac:dyDescent="0.25">
      <c r="B84" s="4"/>
      <c r="C84" s="4"/>
      <c r="D84" s="4"/>
      <c r="E84" s="4"/>
      <c r="F84" s="4"/>
      <c r="G84" s="25"/>
    </row>
    <row r="85" spans="2:7" x14ac:dyDescent="0.25">
      <c r="B85" s="4"/>
      <c r="C85" s="4"/>
      <c r="D85" s="4"/>
      <c r="E85" s="4"/>
      <c r="F85" s="4"/>
      <c r="G85" s="25"/>
    </row>
    <row r="86" spans="2:7" x14ac:dyDescent="0.25">
      <c r="B86" s="4"/>
      <c r="C86" s="4"/>
      <c r="D86" s="4"/>
      <c r="E86" s="4"/>
      <c r="F86" s="4"/>
      <c r="G86" s="25"/>
    </row>
    <row r="87" spans="2:7" x14ac:dyDescent="0.25">
      <c r="B87" s="4"/>
      <c r="C87" s="4"/>
      <c r="D87" s="4"/>
      <c r="E87" s="4"/>
      <c r="F87" s="4"/>
      <c r="G87" s="25"/>
    </row>
    <row r="88" spans="2:7" x14ac:dyDescent="0.25">
      <c r="B88" s="4"/>
      <c r="C88" s="4"/>
      <c r="D88" s="4"/>
      <c r="E88" s="4"/>
      <c r="F88" s="4"/>
      <c r="G88" s="25"/>
    </row>
    <row r="89" spans="2:7" x14ac:dyDescent="0.25">
      <c r="B89" s="4"/>
      <c r="C89" s="4"/>
      <c r="D89" s="4"/>
      <c r="E89" s="4"/>
      <c r="F89" s="4"/>
      <c r="G89" s="25"/>
    </row>
    <row r="90" spans="2:7" x14ac:dyDescent="0.25">
      <c r="B90" s="4"/>
      <c r="C90" s="4"/>
      <c r="D90" s="4"/>
      <c r="E90" s="4"/>
      <c r="F90" s="4"/>
      <c r="G90" s="25"/>
    </row>
    <row r="91" spans="2:7" x14ac:dyDescent="0.25">
      <c r="B91" s="4"/>
      <c r="C91" s="4"/>
      <c r="D91" s="4"/>
      <c r="E91" s="4"/>
      <c r="F91" s="4"/>
      <c r="G91" s="25"/>
    </row>
    <row r="92" spans="2:7" x14ac:dyDescent="0.25">
      <c r="B92" s="4"/>
      <c r="C92" s="4"/>
      <c r="D92" s="4"/>
      <c r="E92" s="4"/>
      <c r="F92" s="4"/>
      <c r="G92" s="25"/>
    </row>
    <row r="93" spans="2:7" x14ac:dyDescent="0.25">
      <c r="B93" s="4"/>
      <c r="C93" s="4"/>
      <c r="D93" s="4"/>
      <c r="E93" s="4"/>
      <c r="F93" s="4"/>
      <c r="G93" s="25"/>
    </row>
    <row r="94" spans="2:7" x14ac:dyDescent="0.25">
      <c r="B94" s="4"/>
      <c r="C94" s="4"/>
      <c r="D94" s="4"/>
      <c r="E94" s="4"/>
      <c r="F94" s="4"/>
      <c r="G94" s="25"/>
    </row>
    <row r="95" spans="2:7" x14ac:dyDescent="0.25">
      <c r="B95" s="4"/>
      <c r="C95" s="4"/>
      <c r="D95" s="4"/>
      <c r="E95" s="4"/>
      <c r="F95" s="4"/>
      <c r="G95" s="25"/>
    </row>
    <row r="96" spans="2:7" x14ac:dyDescent="0.25">
      <c r="B96" s="4"/>
      <c r="C96" s="4"/>
      <c r="D96" s="4"/>
      <c r="E96" s="4"/>
      <c r="F96" s="4"/>
      <c r="G96" s="25"/>
    </row>
    <row r="97" spans="2:7" x14ac:dyDescent="0.25">
      <c r="B97" s="4"/>
      <c r="C97" s="4"/>
      <c r="D97" s="4"/>
      <c r="E97" s="4"/>
      <c r="F97" s="4"/>
      <c r="G97" s="25"/>
    </row>
    <row r="98" spans="2:7" x14ac:dyDescent="0.25">
      <c r="B98" s="4"/>
      <c r="C98" s="4"/>
      <c r="D98" s="4"/>
      <c r="E98" s="4"/>
      <c r="F98" s="4"/>
      <c r="G98" s="25"/>
    </row>
    <row r="99" spans="2:7" x14ac:dyDescent="0.25">
      <c r="B99" s="4"/>
      <c r="C99" s="4"/>
      <c r="D99" s="4"/>
      <c r="E99" s="4"/>
      <c r="F99" s="4"/>
      <c r="G99" s="25"/>
    </row>
    <row r="100" spans="2:7" x14ac:dyDescent="0.25">
      <c r="B100" s="4"/>
      <c r="C100" s="4"/>
      <c r="D100" s="4"/>
      <c r="E100" s="4"/>
      <c r="F100" s="4"/>
      <c r="G100" s="25"/>
    </row>
    <row r="101" spans="2:7" x14ac:dyDescent="0.25">
      <c r="B101" s="4"/>
      <c r="C101" s="4"/>
      <c r="D101" s="4"/>
      <c r="E101" s="4"/>
      <c r="F101" s="4"/>
      <c r="G101" s="25"/>
    </row>
    <row r="102" spans="2:7" x14ac:dyDescent="0.25">
      <c r="B102" s="4"/>
      <c r="C102" s="4"/>
      <c r="D102" s="4"/>
      <c r="E102" s="4"/>
      <c r="F102" s="4"/>
      <c r="G102" s="25"/>
    </row>
    <row r="103" spans="2:7" x14ac:dyDescent="0.25">
      <c r="B103" s="4"/>
      <c r="C103" s="4"/>
      <c r="D103" s="4"/>
      <c r="E103" s="4"/>
      <c r="F103" s="4"/>
      <c r="G103" s="25"/>
    </row>
    <row r="104" spans="2:7" x14ac:dyDescent="0.25">
      <c r="B104" s="4"/>
      <c r="C104" s="4"/>
      <c r="D104" s="4"/>
      <c r="E104" s="4"/>
      <c r="F104" s="4"/>
    </row>
    <row r="105" spans="2:7" x14ac:dyDescent="0.25">
      <c r="B105" s="4"/>
      <c r="C105" s="4"/>
      <c r="D105" s="4"/>
      <c r="E105" s="4"/>
      <c r="F105" s="4"/>
    </row>
    <row r="106" spans="2:7" x14ac:dyDescent="0.25">
      <c r="B106" s="4"/>
      <c r="C106" s="4"/>
      <c r="D106" s="4"/>
      <c r="E106" s="4"/>
      <c r="F106" s="4"/>
    </row>
    <row r="107" spans="2:7" x14ac:dyDescent="0.25">
      <c r="B107" s="4"/>
      <c r="C107" s="4"/>
      <c r="D107" s="4"/>
      <c r="E107" s="4"/>
      <c r="F107" s="4"/>
    </row>
    <row r="108" spans="2:7" x14ac:dyDescent="0.25">
      <c r="B108" s="4"/>
      <c r="C108" s="4"/>
      <c r="D108" s="4"/>
      <c r="E108" s="4"/>
      <c r="F108" s="4"/>
    </row>
    <row r="109" spans="2:7" x14ac:dyDescent="0.25">
      <c r="B109" s="4"/>
      <c r="C109" s="4"/>
      <c r="D109" s="4"/>
      <c r="E109" s="4"/>
      <c r="F109" s="4"/>
    </row>
    <row r="110" spans="2:7" x14ac:dyDescent="0.25">
      <c r="B110" s="4"/>
      <c r="C110" s="4"/>
      <c r="D110" s="4"/>
      <c r="E110" s="4"/>
      <c r="F110" s="4"/>
    </row>
    <row r="111" spans="2:7" x14ac:dyDescent="0.25">
      <c r="B111" s="4"/>
      <c r="C111" s="4"/>
      <c r="D111" s="4"/>
      <c r="E111" s="4"/>
      <c r="F111" s="4"/>
    </row>
    <row r="112" spans="2:7" x14ac:dyDescent="0.25">
      <c r="B112" s="4"/>
      <c r="C112" s="4"/>
      <c r="D112" s="4"/>
      <c r="E112" s="4"/>
      <c r="F112" s="4"/>
    </row>
    <row r="113" spans="2:6" x14ac:dyDescent="0.25">
      <c r="B113" s="4"/>
      <c r="C113" s="4"/>
      <c r="D113" s="4"/>
      <c r="E113" s="4"/>
      <c r="F113" s="4"/>
    </row>
    <row r="114" spans="2:6" x14ac:dyDescent="0.25">
      <c r="B114" s="4"/>
      <c r="C114" s="4"/>
      <c r="D114" s="4"/>
      <c r="E114" s="4"/>
      <c r="F114" s="4"/>
    </row>
    <row r="115" spans="2:6" x14ac:dyDescent="0.25">
      <c r="B115" s="4"/>
      <c r="C115" s="4"/>
      <c r="D115" s="4"/>
      <c r="E115" s="4"/>
      <c r="F115" s="4"/>
    </row>
    <row r="116" spans="2:6" x14ac:dyDescent="0.25">
      <c r="B116" s="4"/>
      <c r="C116" s="4"/>
      <c r="D116" s="4"/>
      <c r="E116" s="4"/>
      <c r="F116" s="4"/>
    </row>
    <row r="117" spans="2:6" x14ac:dyDescent="0.25">
      <c r="B117" s="4"/>
      <c r="C117" s="4"/>
      <c r="D117" s="4"/>
      <c r="E117" s="4"/>
      <c r="F117" s="4"/>
    </row>
    <row r="118" spans="2:6" x14ac:dyDescent="0.25">
      <c r="B118" s="4"/>
      <c r="C118" s="4"/>
      <c r="D118" s="4"/>
      <c r="E118" s="4"/>
      <c r="F118" s="4"/>
    </row>
    <row r="119" spans="2:6" x14ac:dyDescent="0.25">
      <c r="B119" s="4"/>
      <c r="C119" s="4"/>
      <c r="D119" s="4"/>
      <c r="E119" s="4"/>
      <c r="F119" s="4"/>
    </row>
    <row r="120" spans="2:6" x14ac:dyDescent="0.25">
      <c r="B120" s="4"/>
      <c r="C120" s="4"/>
      <c r="D120" s="4"/>
      <c r="E120" s="4"/>
      <c r="F120" s="4"/>
    </row>
    <row r="121" spans="2:6" x14ac:dyDescent="0.25">
      <c r="B121" s="4"/>
      <c r="C121" s="4"/>
      <c r="D121" s="4"/>
      <c r="E121" s="4"/>
      <c r="F121" s="4"/>
    </row>
    <row r="122" spans="2:6" x14ac:dyDescent="0.25">
      <c r="B122" s="4"/>
      <c r="C122" s="4"/>
      <c r="D122" s="4"/>
      <c r="E122" s="4"/>
      <c r="F122" s="4"/>
    </row>
    <row r="123" spans="2:6" x14ac:dyDescent="0.25">
      <c r="B123" s="4"/>
      <c r="C123" s="4"/>
      <c r="D123" s="4"/>
      <c r="E123" s="4"/>
      <c r="F123" s="4"/>
    </row>
    <row r="124" spans="2:6" x14ac:dyDescent="0.25">
      <c r="B124" s="4"/>
      <c r="C124" s="4"/>
      <c r="D124" s="4"/>
      <c r="E124" s="4"/>
      <c r="F124" s="4"/>
    </row>
    <row r="125" spans="2:6" x14ac:dyDescent="0.25">
      <c r="B125" s="4"/>
      <c r="C125" s="4"/>
      <c r="D125" s="4"/>
      <c r="E125" s="4"/>
      <c r="F125" s="4"/>
    </row>
    <row r="126" spans="2:6" x14ac:dyDescent="0.25">
      <c r="B126" s="4"/>
      <c r="C126" s="4"/>
      <c r="D126" s="4"/>
      <c r="E126" s="4"/>
      <c r="F126" s="4"/>
    </row>
    <row r="127" spans="2:6" x14ac:dyDescent="0.25">
      <c r="B127" s="4"/>
      <c r="C127" s="4"/>
      <c r="D127" s="4"/>
      <c r="E127" s="4"/>
      <c r="F127" s="4"/>
    </row>
    <row r="128" spans="2:6" x14ac:dyDescent="0.25">
      <c r="B128" s="4"/>
      <c r="C128" s="4"/>
      <c r="D128" s="4"/>
      <c r="E128" s="4"/>
      <c r="F128" s="4"/>
    </row>
    <row r="129" spans="2:6" x14ac:dyDescent="0.25">
      <c r="B129" s="4"/>
      <c r="C129" s="4"/>
      <c r="D129" s="4"/>
      <c r="E129" s="4"/>
      <c r="F129" s="4"/>
    </row>
    <row r="130" spans="2:6" x14ac:dyDescent="0.25">
      <c r="B130" s="4"/>
      <c r="C130" s="4"/>
      <c r="D130" s="4"/>
      <c r="E130" s="4"/>
      <c r="F130" s="4"/>
    </row>
    <row r="131" spans="2:6" x14ac:dyDescent="0.25">
      <c r="B131" s="4"/>
      <c r="C131" s="4"/>
      <c r="D131" s="4"/>
      <c r="E131" s="4"/>
      <c r="F131" s="4"/>
    </row>
    <row r="132" spans="2:6" x14ac:dyDescent="0.25">
      <c r="B132" s="4"/>
      <c r="C132" s="4"/>
      <c r="D132" s="4"/>
      <c r="E132" s="4"/>
      <c r="F132" s="4"/>
    </row>
    <row r="133" spans="2:6" x14ac:dyDescent="0.25">
      <c r="B133" s="4"/>
      <c r="C133" s="4"/>
      <c r="D133" s="4"/>
      <c r="E133" s="4"/>
      <c r="F133" s="4"/>
    </row>
    <row r="134" spans="2:6" x14ac:dyDescent="0.25">
      <c r="B134" s="4"/>
      <c r="C134" s="4"/>
      <c r="D134" s="4"/>
      <c r="E134" s="4"/>
      <c r="F134" s="4"/>
    </row>
    <row r="135" spans="2:6" x14ac:dyDescent="0.25">
      <c r="B135" s="4"/>
      <c r="C135" s="4"/>
      <c r="D135" s="4"/>
      <c r="E135" s="4"/>
      <c r="F135" s="4"/>
    </row>
    <row r="136" spans="2:6" x14ac:dyDescent="0.25">
      <c r="B136" s="4"/>
      <c r="C136" s="4"/>
      <c r="D136" s="4"/>
      <c r="E136" s="4"/>
      <c r="F136" s="4"/>
    </row>
    <row r="137" spans="2:6" x14ac:dyDescent="0.25">
      <c r="B137" s="4"/>
      <c r="C137" s="4"/>
      <c r="D137" s="4"/>
      <c r="E137" s="4"/>
      <c r="F137" s="4"/>
    </row>
    <row r="138" spans="2:6" x14ac:dyDescent="0.25">
      <c r="B138" s="4"/>
      <c r="C138" s="4"/>
      <c r="D138" s="4"/>
      <c r="E138" s="4"/>
      <c r="F138" s="4"/>
    </row>
    <row r="139" spans="2:6" x14ac:dyDescent="0.25">
      <c r="B139" s="4"/>
      <c r="C139" s="4"/>
      <c r="D139" s="4"/>
      <c r="E139" s="4"/>
      <c r="F139" s="4"/>
    </row>
    <row r="140" spans="2:6" x14ac:dyDescent="0.25">
      <c r="B140" s="4"/>
      <c r="C140" s="4"/>
      <c r="D140" s="4"/>
      <c r="E140" s="4"/>
      <c r="F140" s="4"/>
    </row>
    <row r="141" spans="2:6" x14ac:dyDescent="0.25">
      <c r="B141" s="4"/>
      <c r="C141" s="4"/>
      <c r="D141" s="4"/>
      <c r="E141" s="4"/>
      <c r="F141" s="4"/>
    </row>
    <row r="142" spans="2:6" x14ac:dyDescent="0.25">
      <c r="B142" s="4"/>
      <c r="C142" s="4"/>
      <c r="D142" s="4"/>
      <c r="E142" s="4"/>
      <c r="F142" s="4"/>
    </row>
    <row r="143" spans="2:6" x14ac:dyDescent="0.25">
      <c r="B143" s="4"/>
      <c r="C143" s="4"/>
      <c r="D143" s="4"/>
      <c r="E143" s="4"/>
      <c r="F143" s="4"/>
    </row>
    <row r="144" spans="2:6" x14ac:dyDescent="0.25">
      <c r="B144" s="4"/>
      <c r="C144" s="4"/>
      <c r="D144" s="4"/>
      <c r="E144" s="4"/>
      <c r="F144" s="4"/>
    </row>
    <row r="145" spans="2:6" x14ac:dyDescent="0.25">
      <c r="B145" s="4"/>
      <c r="C145" s="4"/>
      <c r="D145" s="4"/>
      <c r="E145" s="4"/>
      <c r="F145" s="4"/>
    </row>
    <row r="146" spans="2:6" x14ac:dyDescent="0.25">
      <c r="B146" s="4"/>
      <c r="C146" s="4"/>
      <c r="D146" s="4"/>
      <c r="E146" s="4"/>
      <c r="F146" s="4"/>
    </row>
    <row r="147" spans="2:6" x14ac:dyDescent="0.25">
      <c r="B147" s="4"/>
      <c r="C147" s="4"/>
      <c r="D147" s="4"/>
      <c r="E147" s="4"/>
      <c r="F147" s="4"/>
    </row>
    <row r="148" spans="2:6" x14ac:dyDescent="0.25">
      <c r="B148" s="4"/>
      <c r="C148" s="4"/>
      <c r="D148" s="4"/>
      <c r="E148" s="4"/>
      <c r="F148" s="4"/>
    </row>
    <row r="149" spans="2:6" x14ac:dyDescent="0.25">
      <c r="B149" s="4"/>
      <c r="C149" s="4"/>
      <c r="D149" s="4"/>
      <c r="E149" s="4"/>
      <c r="F149" s="4"/>
    </row>
    <row r="150" spans="2:6" x14ac:dyDescent="0.25">
      <c r="B150" s="4"/>
      <c r="C150" s="4"/>
      <c r="D150" s="4"/>
      <c r="E150" s="4"/>
      <c r="F150" s="4"/>
    </row>
    <row r="151" spans="2:6" x14ac:dyDescent="0.25">
      <c r="B151" s="4"/>
      <c r="C151" s="4"/>
      <c r="D151" s="4"/>
      <c r="E151" s="4"/>
      <c r="F151" s="4"/>
    </row>
    <row r="152" spans="2:6" x14ac:dyDescent="0.25">
      <c r="B152" s="4"/>
      <c r="C152" s="4"/>
      <c r="D152" s="4"/>
      <c r="E152" s="4"/>
      <c r="F152" s="4"/>
    </row>
    <row r="153" spans="2:6" x14ac:dyDescent="0.25">
      <c r="B153" s="4"/>
      <c r="C153" s="4"/>
      <c r="D153" s="4"/>
      <c r="E153" s="4"/>
      <c r="F153" s="4"/>
    </row>
    <row r="154" spans="2:6" x14ac:dyDescent="0.25">
      <c r="B154" s="4"/>
      <c r="C154" s="4"/>
      <c r="D154" s="4"/>
      <c r="E154" s="4"/>
      <c r="F154" s="4"/>
    </row>
    <row r="155" spans="2:6" x14ac:dyDescent="0.25">
      <c r="B155" s="4"/>
      <c r="C155" s="4"/>
      <c r="D155" s="4"/>
      <c r="E155" s="4"/>
      <c r="F155" s="4"/>
    </row>
    <row r="156" spans="2:6" x14ac:dyDescent="0.25">
      <c r="B156" s="4"/>
      <c r="C156" s="4"/>
      <c r="D156" s="4"/>
      <c r="E156" s="4"/>
      <c r="F156" s="4"/>
    </row>
    <row r="157" spans="2:6" x14ac:dyDescent="0.25">
      <c r="B157" s="4"/>
      <c r="C157" s="4"/>
      <c r="D157" s="4"/>
      <c r="E157" s="4"/>
      <c r="F157" s="4"/>
    </row>
    <row r="158" spans="2:6" x14ac:dyDescent="0.25">
      <c r="B158" s="4"/>
      <c r="C158" s="4"/>
      <c r="D158" s="4"/>
      <c r="E158" s="4"/>
      <c r="F158" s="4"/>
    </row>
    <row r="159" spans="2:6" x14ac:dyDescent="0.25">
      <c r="B159" s="4"/>
      <c r="C159" s="4"/>
      <c r="D159" s="4"/>
      <c r="E159" s="4"/>
      <c r="F159" s="4"/>
    </row>
    <row r="160" spans="2:6" x14ac:dyDescent="0.25">
      <c r="B160" s="4"/>
      <c r="C160" s="4"/>
      <c r="D160" s="4"/>
      <c r="E160" s="4"/>
      <c r="F160" s="4"/>
    </row>
    <row r="161" spans="2:6" x14ac:dyDescent="0.25">
      <c r="B161" s="4"/>
      <c r="C161" s="4"/>
      <c r="D161" s="4"/>
      <c r="E161" s="4"/>
      <c r="F161" s="4"/>
    </row>
    <row r="162" spans="2:6" x14ac:dyDescent="0.25">
      <c r="B162" s="4"/>
      <c r="C162" s="4"/>
      <c r="D162" s="4"/>
      <c r="E162" s="4"/>
      <c r="F162" s="4"/>
    </row>
    <row r="163" spans="2:6" x14ac:dyDescent="0.25">
      <c r="B163" s="4"/>
      <c r="C163" s="4"/>
      <c r="D163" s="4"/>
      <c r="E163" s="4"/>
      <c r="F163" s="4"/>
    </row>
    <row r="164" spans="2:6" x14ac:dyDescent="0.25">
      <c r="B164" s="4"/>
      <c r="C164" s="4"/>
      <c r="D164" s="4"/>
      <c r="E164" s="4"/>
      <c r="F164" s="4"/>
    </row>
    <row r="165" spans="2:6" x14ac:dyDescent="0.25">
      <c r="B165" s="4"/>
      <c r="C165" s="4"/>
      <c r="D165" s="4"/>
      <c r="E165" s="4"/>
      <c r="F165" s="4"/>
    </row>
    <row r="166" spans="2:6" x14ac:dyDescent="0.25">
      <c r="B166" s="4"/>
      <c r="C166" s="4"/>
      <c r="D166" s="4"/>
      <c r="E166" s="4"/>
      <c r="F166" s="4"/>
    </row>
    <row r="167" spans="2:6" x14ac:dyDescent="0.25">
      <c r="B167" s="4"/>
      <c r="C167" s="4"/>
      <c r="D167" s="4"/>
      <c r="E167" s="4"/>
      <c r="F167" s="4"/>
    </row>
    <row r="168" spans="2:6" x14ac:dyDescent="0.25">
      <c r="B168" s="4"/>
      <c r="C168" s="4"/>
      <c r="D168" s="4"/>
      <c r="E168" s="4"/>
      <c r="F168" s="4"/>
    </row>
    <row r="169" spans="2:6" x14ac:dyDescent="0.25">
      <c r="B169" s="4"/>
      <c r="C169" s="4"/>
      <c r="D169" s="4"/>
      <c r="E169" s="4"/>
      <c r="F169" s="4"/>
    </row>
    <row r="170" spans="2:6" x14ac:dyDescent="0.25">
      <c r="B170" s="4"/>
      <c r="C170" s="4"/>
      <c r="D170" s="4"/>
      <c r="E170" s="4"/>
      <c r="F170" s="4"/>
    </row>
    <row r="171" spans="2:6" x14ac:dyDescent="0.25">
      <c r="B171" s="4"/>
      <c r="C171" s="4"/>
      <c r="D171" s="4"/>
      <c r="E171" s="4"/>
      <c r="F171" s="4"/>
    </row>
    <row r="172" spans="2:6" x14ac:dyDescent="0.25">
      <c r="B172" s="4"/>
      <c r="C172" s="4"/>
      <c r="D172" s="4"/>
      <c r="E172" s="4"/>
      <c r="F172" s="4"/>
    </row>
    <row r="173" spans="2:6" x14ac:dyDescent="0.25">
      <c r="B173" s="4"/>
      <c r="C173" s="4"/>
      <c r="D173" s="4"/>
      <c r="E173" s="4"/>
      <c r="F173" s="4"/>
    </row>
    <row r="174" spans="2:6" x14ac:dyDescent="0.25">
      <c r="B174" s="4"/>
      <c r="C174" s="4"/>
      <c r="D174" s="4"/>
      <c r="E174" s="4"/>
      <c r="F174" s="4"/>
    </row>
    <row r="175" spans="2:6" x14ac:dyDescent="0.25">
      <c r="B175" s="4"/>
      <c r="C175" s="4"/>
      <c r="D175" s="4"/>
      <c r="E175" s="4"/>
      <c r="F175" s="4"/>
    </row>
    <row r="176" spans="2:6" x14ac:dyDescent="0.25">
      <c r="B176" s="4"/>
      <c r="C176" s="4"/>
      <c r="D176" s="4"/>
      <c r="E176" s="4"/>
      <c r="F176" s="4"/>
    </row>
    <row r="177" spans="2:6" x14ac:dyDescent="0.25">
      <c r="B177" s="4"/>
      <c r="C177" s="4"/>
      <c r="D177" s="4"/>
      <c r="E177" s="4"/>
      <c r="F177" s="4"/>
    </row>
    <row r="178" spans="2:6" x14ac:dyDescent="0.25">
      <c r="B178" s="4"/>
      <c r="C178" s="4"/>
      <c r="D178" s="4"/>
      <c r="E178" s="4"/>
      <c r="F178" s="4"/>
    </row>
    <row r="179" spans="2:6" x14ac:dyDescent="0.25">
      <c r="B179" s="4"/>
      <c r="C179" s="4"/>
      <c r="D179" s="4"/>
      <c r="E179" s="4"/>
      <c r="F179" s="4"/>
    </row>
    <row r="180" spans="2:6" x14ac:dyDescent="0.25">
      <c r="B180" s="4"/>
      <c r="C180" s="4"/>
      <c r="D180" s="4"/>
      <c r="E180" s="4"/>
      <c r="F180" s="4"/>
    </row>
    <row r="181" spans="2:6" x14ac:dyDescent="0.25">
      <c r="B181" s="4"/>
      <c r="C181" s="4"/>
      <c r="D181" s="4"/>
      <c r="E181" s="4"/>
      <c r="F181" s="4"/>
    </row>
    <row r="182" spans="2:6" x14ac:dyDescent="0.25">
      <c r="B182" s="4"/>
      <c r="C182" s="4"/>
      <c r="D182" s="4"/>
      <c r="E182" s="4"/>
      <c r="F182" s="4"/>
    </row>
    <row r="183" spans="2:6" x14ac:dyDescent="0.25">
      <c r="B183" s="4"/>
      <c r="C183" s="4"/>
      <c r="D183" s="4"/>
      <c r="E183" s="4"/>
      <c r="F183" s="4"/>
    </row>
    <row r="184" spans="2:6" x14ac:dyDescent="0.25">
      <c r="B184" s="4"/>
      <c r="C184" s="4"/>
      <c r="D184" s="4"/>
      <c r="E184" s="4"/>
      <c r="F184" s="4"/>
    </row>
    <row r="185" spans="2:6" x14ac:dyDescent="0.25">
      <c r="B185" s="4"/>
      <c r="C185" s="4"/>
      <c r="D185" s="4"/>
      <c r="E185" s="4"/>
      <c r="F185" s="4"/>
    </row>
    <row r="186" spans="2:6" x14ac:dyDescent="0.25">
      <c r="B186" s="4"/>
      <c r="C186" s="4"/>
      <c r="D186" s="4"/>
      <c r="E186" s="4"/>
      <c r="F186" s="4"/>
    </row>
    <row r="187" spans="2:6" x14ac:dyDescent="0.25">
      <c r="B187" s="4"/>
      <c r="C187" s="4"/>
      <c r="D187" s="4"/>
      <c r="E187" s="4"/>
      <c r="F187" s="4"/>
    </row>
    <row r="188" spans="2:6" x14ac:dyDescent="0.25">
      <c r="B188" s="4"/>
      <c r="C188" s="4"/>
      <c r="D188" s="4"/>
      <c r="E188" s="4"/>
      <c r="F188" s="4"/>
    </row>
    <row r="189" spans="2:6" x14ac:dyDescent="0.25">
      <c r="B189" s="4"/>
      <c r="C189" s="4"/>
      <c r="D189" s="4"/>
      <c r="E189" s="4"/>
      <c r="F189" s="4"/>
    </row>
    <row r="190" spans="2:6" x14ac:dyDescent="0.25">
      <c r="B190" s="4"/>
      <c r="C190" s="4"/>
      <c r="D190" s="4"/>
      <c r="E190" s="4"/>
      <c r="F190" s="4"/>
    </row>
    <row r="191" spans="2:6" x14ac:dyDescent="0.25">
      <c r="B191" s="4"/>
      <c r="C191" s="4"/>
      <c r="D191" s="4"/>
      <c r="E191" s="4"/>
      <c r="F191" s="4"/>
    </row>
    <row r="192" spans="2:6" x14ac:dyDescent="0.25">
      <c r="B192" s="4"/>
      <c r="C192" s="4"/>
      <c r="D192" s="4"/>
      <c r="E192" s="4"/>
      <c r="F192" s="4"/>
    </row>
    <row r="193" spans="2:6" x14ac:dyDescent="0.25">
      <c r="B193" s="4"/>
      <c r="C193" s="4"/>
      <c r="D193" s="4"/>
      <c r="E193" s="4"/>
      <c r="F193" s="4"/>
    </row>
    <row r="194" spans="2:6" x14ac:dyDescent="0.25">
      <c r="B194" s="4"/>
      <c r="C194" s="4"/>
      <c r="D194" s="4"/>
      <c r="E194" s="4"/>
      <c r="F194" s="4"/>
    </row>
    <row r="195" spans="2:6" x14ac:dyDescent="0.25">
      <c r="B195" s="4"/>
      <c r="C195" s="4"/>
      <c r="D195" s="4"/>
      <c r="E195" s="4"/>
      <c r="F195" s="4"/>
    </row>
    <row r="196" spans="2:6" x14ac:dyDescent="0.25">
      <c r="B196" s="4"/>
      <c r="C196" s="4"/>
      <c r="D196" s="4"/>
      <c r="E196" s="4"/>
      <c r="F196" s="4"/>
    </row>
    <row r="197" spans="2:6" x14ac:dyDescent="0.25">
      <c r="B197" s="4"/>
      <c r="C197" s="4"/>
      <c r="D197" s="4"/>
      <c r="E197" s="4"/>
      <c r="F197" s="4"/>
    </row>
    <row r="198" spans="2:6" x14ac:dyDescent="0.25">
      <c r="B198" s="4"/>
      <c r="C198" s="4"/>
      <c r="D198" s="4"/>
      <c r="E198" s="4"/>
      <c r="F198" s="4"/>
    </row>
    <row r="199" spans="2:6" x14ac:dyDescent="0.25">
      <c r="B199" s="4"/>
      <c r="C199" s="4"/>
      <c r="D199" s="4"/>
      <c r="E199" s="4"/>
      <c r="F199" s="4"/>
    </row>
    <row r="200" spans="2:6" x14ac:dyDescent="0.25">
      <c r="B200" s="4"/>
      <c r="C200" s="4"/>
      <c r="D200" s="4"/>
      <c r="E200" s="4"/>
      <c r="F200" s="4"/>
    </row>
    <row r="201" spans="2:6" x14ac:dyDescent="0.25">
      <c r="B201" s="4"/>
      <c r="C201" s="4"/>
      <c r="D201" s="4"/>
      <c r="E201" s="4"/>
      <c r="F201" s="4"/>
    </row>
    <row r="202" spans="2:6" x14ac:dyDescent="0.25">
      <c r="B202" s="4"/>
      <c r="C202" s="4"/>
      <c r="D202" s="4"/>
      <c r="E202" s="4"/>
      <c r="F202" s="4"/>
    </row>
    <row r="203" spans="2:6" x14ac:dyDescent="0.25">
      <c r="B203" s="4"/>
      <c r="C203" s="4"/>
      <c r="D203" s="4"/>
      <c r="E203" s="4"/>
      <c r="F203" s="4"/>
    </row>
    <row r="204" spans="2:6" x14ac:dyDescent="0.25">
      <c r="B204" s="4"/>
      <c r="C204" s="4"/>
      <c r="D204" s="4"/>
      <c r="E204" s="4"/>
      <c r="F204" s="4"/>
    </row>
    <row r="205" spans="2:6" x14ac:dyDescent="0.25">
      <c r="B205" s="4"/>
      <c r="C205" s="4"/>
      <c r="D205" s="4"/>
      <c r="E205" s="4"/>
      <c r="F205" s="4"/>
    </row>
    <row r="206" spans="2:6" x14ac:dyDescent="0.25">
      <c r="B206" s="4"/>
      <c r="C206" s="4"/>
      <c r="D206" s="4"/>
      <c r="E206" s="4"/>
      <c r="F206" s="4"/>
    </row>
    <row r="207" spans="2:6" x14ac:dyDescent="0.25">
      <c r="B207" s="4"/>
      <c r="C207" s="4"/>
      <c r="D207" s="4"/>
      <c r="E207" s="4"/>
      <c r="F207" s="4"/>
    </row>
    <row r="208" spans="2:6" x14ac:dyDescent="0.25">
      <c r="B208" s="4"/>
      <c r="C208" s="4"/>
      <c r="D208" s="4"/>
      <c r="E208" s="4"/>
      <c r="F208" s="4"/>
    </row>
    <row r="209" spans="2:6" x14ac:dyDescent="0.25">
      <c r="B209" s="4"/>
      <c r="C209" s="4"/>
      <c r="D209" s="4"/>
      <c r="E209" s="4"/>
      <c r="F209" s="4"/>
    </row>
    <row r="210" spans="2:6" x14ac:dyDescent="0.25">
      <c r="B210" s="4"/>
      <c r="C210" s="4"/>
      <c r="D210" s="4"/>
      <c r="E210" s="4"/>
      <c r="F210" s="4"/>
    </row>
    <row r="211" spans="2:6" x14ac:dyDescent="0.25">
      <c r="B211" s="4"/>
      <c r="C211" s="4"/>
      <c r="D211" s="4"/>
      <c r="E211" s="4"/>
      <c r="F211" s="4"/>
    </row>
    <row r="212" spans="2:6" x14ac:dyDescent="0.25">
      <c r="B212" s="4"/>
      <c r="C212" s="4"/>
      <c r="D212" s="4"/>
      <c r="E212" s="4"/>
      <c r="F212" s="4"/>
    </row>
    <row r="213" spans="2:6" x14ac:dyDescent="0.25">
      <c r="B213" s="4"/>
      <c r="C213" s="4"/>
      <c r="D213" s="4"/>
      <c r="E213" s="4"/>
      <c r="F213" s="4"/>
    </row>
    <row r="214" spans="2:6" x14ac:dyDescent="0.25">
      <c r="B214" s="4"/>
      <c r="C214" s="4"/>
      <c r="D214" s="4"/>
      <c r="E214" s="4"/>
      <c r="F214" s="4"/>
    </row>
    <row r="215" spans="2:6" x14ac:dyDescent="0.25">
      <c r="B215" s="4"/>
      <c r="C215" s="4"/>
      <c r="D215" s="4"/>
      <c r="E215" s="4"/>
      <c r="F215" s="4"/>
    </row>
    <row r="216" spans="2:6" x14ac:dyDescent="0.25">
      <c r="B216" s="4"/>
      <c r="C216" s="4"/>
      <c r="D216" s="4"/>
      <c r="E216" s="4"/>
      <c r="F216" s="4"/>
    </row>
    <row r="217" spans="2:6" x14ac:dyDescent="0.25">
      <c r="B217" s="4"/>
      <c r="C217" s="4"/>
      <c r="D217" s="4"/>
      <c r="E217" s="4"/>
      <c r="F217" s="4"/>
    </row>
    <row r="218" spans="2:6" x14ac:dyDescent="0.25">
      <c r="B218" s="4"/>
      <c r="C218" s="4"/>
      <c r="D218" s="4"/>
      <c r="E218" s="4"/>
      <c r="F218" s="4"/>
    </row>
    <row r="219" spans="2:6" x14ac:dyDescent="0.25">
      <c r="B219" s="4"/>
      <c r="C219" s="4"/>
      <c r="D219" s="4"/>
      <c r="E219" s="4"/>
      <c r="F219" s="4"/>
    </row>
    <row r="220" spans="2:6" x14ac:dyDescent="0.25">
      <c r="B220" s="4"/>
      <c r="C220" s="4"/>
      <c r="D220" s="4"/>
      <c r="E220" s="4"/>
      <c r="F220" s="4"/>
    </row>
    <row r="221" spans="2:6" x14ac:dyDescent="0.25">
      <c r="B221" s="4"/>
      <c r="C221" s="4"/>
      <c r="D221" s="4"/>
      <c r="E221" s="4"/>
      <c r="F221" s="4"/>
    </row>
    <row r="222" spans="2:6" x14ac:dyDescent="0.25">
      <c r="B222" s="4"/>
      <c r="C222" s="4"/>
      <c r="D222" s="4"/>
      <c r="E222" s="4"/>
      <c r="F222" s="4"/>
    </row>
    <row r="223" spans="2:6" x14ac:dyDescent="0.25">
      <c r="B223" s="4"/>
      <c r="C223" s="4"/>
      <c r="D223" s="4"/>
      <c r="E223" s="4"/>
      <c r="F223" s="4"/>
    </row>
    <row r="224" spans="2:6" x14ac:dyDescent="0.25">
      <c r="B224" s="4"/>
      <c r="C224" s="4"/>
      <c r="D224" s="4"/>
      <c r="E224" s="4"/>
      <c r="F224" s="4"/>
    </row>
    <row r="225" spans="2:6" x14ac:dyDescent="0.25">
      <c r="B225" s="4"/>
      <c r="C225" s="4"/>
      <c r="D225" s="4"/>
      <c r="E225" s="4"/>
      <c r="F225" s="4"/>
    </row>
    <row r="226" spans="2:6" x14ac:dyDescent="0.25">
      <c r="B226" s="4"/>
      <c r="C226" s="4"/>
      <c r="D226" s="4"/>
      <c r="E226" s="4"/>
      <c r="F226" s="4"/>
    </row>
    <row r="227" spans="2:6" x14ac:dyDescent="0.25">
      <c r="B227" s="4"/>
      <c r="C227" s="4"/>
      <c r="D227" s="4"/>
      <c r="E227" s="4"/>
      <c r="F227" s="4"/>
    </row>
    <row r="228" spans="2:6" x14ac:dyDescent="0.25">
      <c r="B228" s="4"/>
      <c r="C228" s="4"/>
      <c r="D228" s="4"/>
      <c r="E228" s="4"/>
      <c r="F228" s="4"/>
    </row>
    <row r="229" spans="2:6" x14ac:dyDescent="0.25">
      <c r="B229" s="4"/>
      <c r="C229" s="4"/>
      <c r="D229" s="4"/>
      <c r="E229" s="4"/>
      <c r="F229" s="4"/>
    </row>
    <row r="230" spans="2:6" x14ac:dyDescent="0.25">
      <c r="B230" s="4"/>
      <c r="C230" s="4"/>
      <c r="D230" s="4"/>
      <c r="E230" s="4"/>
      <c r="F230" s="4"/>
    </row>
    <row r="231" spans="2:6" x14ac:dyDescent="0.25">
      <c r="B231" s="4"/>
      <c r="C231" s="4"/>
      <c r="D231" s="4"/>
      <c r="E231" s="4"/>
      <c r="F231" s="4"/>
    </row>
    <row r="232" spans="2:6" x14ac:dyDescent="0.25">
      <c r="B232" s="4"/>
      <c r="C232" s="4"/>
      <c r="D232" s="4"/>
      <c r="E232" s="4"/>
      <c r="F232" s="4"/>
    </row>
    <row r="233" spans="2:6" x14ac:dyDescent="0.25">
      <c r="B233" s="4"/>
      <c r="C233" s="4"/>
      <c r="D233" s="4"/>
      <c r="E233" s="4"/>
      <c r="F233" s="4"/>
    </row>
    <row r="234" spans="2:6" x14ac:dyDescent="0.25">
      <c r="B234" s="4"/>
      <c r="C234" s="4"/>
      <c r="D234" s="4"/>
      <c r="E234" s="4"/>
      <c r="F234" s="4"/>
    </row>
    <row r="235" spans="2:6" x14ac:dyDescent="0.25">
      <c r="B235" s="4"/>
      <c r="C235" s="4"/>
      <c r="D235" s="4"/>
      <c r="E235" s="4"/>
      <c r="F235" s="4"/>
    </row>
    <row r="236" spans="2:6" x14ac:dyDescent="0.25">
      <c r="B236" s="4"/>
      <c r="C236" s="4"/>
      <c r="D236" s="4"/>
      <c r="E236" s="4"/>
      <c r="F236" s="4"/>
    </row>
    <row r="237" spans="2:6" x14ac:dyDescent="0.25">
      <c r="B237" s="4"/>
      <c r="C237" s="4"/>
      <c r="D237" s="4"/>
      <c r="E237" s="4"/>
      <c r="F237" s="4"/>
    </row>
    <row r="238" spans="2:6" x14ac:dyDescent="0.25">
      <c r="B238" s="4"/>
      <c r="C238" s="4"/>
      <c r="D238" s="4"/>
      <c r="E238" s="4"/>
      <c r="F238" s="4"/>
    </row>
    <row r="239" spans="2:6" x14ac:dyDescent="0.25">
      <c r="B239" s="4"/>
      <c r="C239" s="4"/>
      <c r="D239" s="4"/>
      <c r="E239" s="4"/>
      <c r="F239" s="4"/>
    </row>
    <row r="240" spans="2:6" x14ac:dyDescent="0.25">
      <c r="B240" s="4"/>
      <c r="C240" s="4"/>
      <c r="D240" s="4"/>
      <c r="E240" s="4"/>
      <c r="F240" s="4"/>
    </row>
    <row r="241" spans="2:6" x14ac:dyDescent="0.25">
      <c r="B241" s="4"/>
      <c r="C241" s="4"/>
      <c r="D241" s="4"/>
      <c r="E241" s="4"/>
      <c r="F241" s="4"/>
    </row>
    <row r="242" spans="2:6" x14ac:dyDescent="0.25">
      <c r="B242" s="4"/>
      <c r="C242" s="4"/>
      <c r="D242" s="4"/>
      <c r="E242" s="4"/>
      <c r="F242" s="4"/>
    </row>
    <row r="243" spans="2:6" x14ac:dyDescent="0.25">
      <c r="B243" s="4"/>
      <c r="C243" s="4"/>
      <c r="D243" s="4"/>
      <c r="E243" s="4"/>
      <c r="F243" s="4"/>
    </row>
    <row r="244" spans="2:6" x14ac:dyDescent="0.25">
      <c r="B244" s="4"/>
      <c r="C244" s="4"/>
      <c r="D244" s="4"/>
      <c r="E244" s="4"/>
      <c r="F244" s="4"/>
    </row>
    <row r="245" spans="2:6" x14ac:dyDescent="0.25">
      <c r="B245" s="4"/>
      <c r="C245" s="4"/>
      <c r="D245" s="4"/>
      <c r="E245" s="4"/>
      <c r="F245" s="4"/>
    </row>
    <row r="246" spans="2:6" x14ac:dyDescent="0.25">
      <c r="B246" s="4"/>
      <c r="C246" s="4"/>
      <c r="D246" s="4"/>
      <c r="E246" s="4"/>
      <c r="F246" s="4"/>
    </row>
    <row r="247" spans="2:6" x14ac:dyDescent="0.25">
      <c r="B247" s="4"/>
      <c r="C247" s="4"/>
      <c r="D247" s="4"/>
      <c r="E247" s="4"/>
      <c r="F247" s="4"/>
    </row>
    <row r="248" spans="2:6" x14ac:dyDescent="0.25">
      <c r="B248" s="4"/>
      <c r="C248" s="4"/>
      <c r="D248" s="4"/>
      <c r="E248" s="4"/>
      <c r="F248" s="4"/>
    </row>
    <row r="249" spans="2:6" x14ac:dyDescent="0.25">
      <c r="B249" s="4"/>
      <c r="C249" s="4"/>
      <c r="D249" s="4"/>
      <c r="E249" s="4"/>
      <c r="F249" s="4"/>
    </row>
    <row r="250" spans="2:6" x14ac:dyDescent="0.25">
      <c r="B250" s="4"/>
      <c r="C250" s="4"/>
      <c r="D250" s="4"/>
      <c r="E250" s="4"/>
      <c r="F250" s="4"/>
    </row>
    <row r="251" spans="2:6" x14ac:dyDescent="0.25">
      <c r="B251" s="4"/>
      <c r="C251" s="4"/>
      <c r="D251" s="4"/>
      <c r="E251" s="4"/>
      <c r="F251" s="4"/>
    </row>
    <row r="252" spans="2:6" x14ac:dyDescent="0.25">
      <c r="B252" s="4"/>
      <c r="C252" s="4"/>
      <c r="D252" s="4"/>
      <c r="E252" s="4"/>
      <c r="F252" s="4"/>
    </row>
    <row r="253" spans="2:6" x14ac:dyDescent="0.25">
      <c r="B253" s="4"/>
      <c r="C253" s="4"/>
      <c r="D253" s="4"/>
      <c r="E253" s="4"/>
      <c r="F253" s="4"/>
    </row>
    <row r="254" spans="2:6" x14ac:dyDescent="0.25">
      <c r="B254" s="4"/>
      <c r="C254" s="4"/>
      <c r="D254" s="4"/>
      <c r="E254" s="4"/>
      <c r="F254" s="4"/>
    </row>
    <row r="255" spans="2:6" x14ac:dyDescent="0.25">
      <c r="B255" s="4"/>
      <c r="C255" s="4"/>
      <c r="D255" s="4"/>
      <c r="E255" s="4"/>
      <c r="F255" s="4"/>
    </row>
    <row r="256" spans="2:6" x14ac:dyDescent="0.25">
      <c r="B256" s="4"/>
      <c r="C256" s="4"/>
      <c r="D256" s="4"/>
      <c r="E256" s="4"/>
      <c r="F256" s="4"/>
    </row>
    <row r="257" spans="2:6" x14ac:dyDescent="0.25">
      <c r="B257" s="4"/>
      <c r="C257" s="4"/>
      <c r="D257" s="4"/>
      <c r="E257" s="4"/>
      <c r="F257" s="4"/>
    </row>
    <row r="258" spans="2:6" x14ac:dyDescent="0.25">
      <c r="B258" s="4"/>
      <c r="C258" s="4"/>
      <c r="D258" s="4"/>
      <c r="E258" s="4"/>
      <c r="F258" s="4"/>
    </row>
    <row r="259" spans="2:6" x14ac:dyDescent="0.25">
      <c r="B259" s="4"/>
      <c r="C259" s="4"/>
      <c r="D259" s="4"/>
      <c r="E259" s="4"/>
      <c r="F259" s="4"/>
    </row>
    <row r="260" spans="2:6" x14ac:dyDescent="0.25">
      <c r="B260" s="4"/>
      <c r="C260" s="4"/>
      <c r="D260" s="4"/>
      <c r="E260" s="4"/>
      <c r="F260" s="4"/>
    </row>
    <row r="261" spans="2:6" x14ac:dyDescent="0.25">
      <c r="B261" s="4"/>
      <c r="C261" s="4"/>
      <c r="D261" s="4"/>
      <c r="E261" s="4"/>
      <c r="F261" s="4"/>
    </row>
    <row r="262" spans="2:6" x14ac:dyDescent="0.25">
      <c r="B262" s="4"/>
      <c r="C262" s="4"/>
      <c r="D262" s="4"/>
      <c r="E262" s="4"/>
      <c r="F262" s="4"/>
    </row>
    <row r="263" spans="2:6" x14ac:dyDescent="0.25">
      <c r="B263" s="4"/>
      <c r="C263" s="4"/>
      <c r="D263" s="4"/>
      <c r="E263" s="4"/>
      <c r="F263" s="4"/>
    </row>
    <row r="264" spans="2:6" x14ac:dyDescent="0.25">
      <c r="B264" s="4"/>
      <c r="C264" s="4"/>
      <c r="D264" s="4"/>
      <c r="E264" s="4"/>
      <c r="F264" s="4"/>
    </row>
    <row r="265" spans="2:6" x14ac:dyDescent="0.25">
      <c r="B265" s="4"/>
      <c r="C265" s="4"/>
      <c r="D265" s="4"/>
      <c r="E265" s="4"/>
      <c r="F265" s="4"/>
    </row>
    <row r="266" spans="2:6" x14ac:dyDescent="0.25">
      <c r="B266" s="4"/>
      <c r="C266" s="4"/>
      <c r="D266" s="4"/>
      <c r="E266" s="4"/>
      <c r="F266" s="4"/>
    </row>
    <row r="267" spans="2:6" x14ac:dyDescent="0.25">
      <c r="B267" s="4"/>
      <c r="C267" s="4"/>
      <c r="D267" s="4"/>
      <c r="E267" s="4"/>
      <c r="F267" s="4"/>
    </row>
    <row r="268" spans="2:6" x14ac:dyDescent="0.25">
      <c r="B268" s="4"/>
      <c r="C268" s="4"/>
      <c r="D268" s="4"/>
      <c r="E268" s="4"/>
      <c r="F268" s="4"/>
    </row>
    <row r="269" spans="2:6" x14ac:dyDescent="0.25">
      <c r="B269" s="4"/>
      <c r="C269" s="4"/>
      <c r="D269" s="4"/>
      <c r="E269" s="4"/>
      <c r="F269" s="4"/>
    </row>
    <row r="270" spans="2:6" x14ac:dyDescent="0.25">
      <c r="B270" s="4"/>
      <c r="C270" s="4"/>
      <c r="D270" s="4"/>
      <c r="E270" s="4"/>
      <c r="F270" s="4"/>
    </row>
    <row r="271" spans="2:6" x14ac:dyDescent="0.25">
      <c r="B271" s="4"/>
      <c r="C271" s="4"/>
      <c r="D271" s="4"/>
      <c r="E271" s="4"/>
      <c r="F271" s="4"/>
    </row>
    <row r="272" spans="2:6" x14ac:dyDescent="0.25">
      <c r="B272" s="4"/>
      <c r="C272" s="4"/>
      <c r="D272" s="4"/>
      <c r="E272" s="4"/>
      <c r="F272" s="4"/>
    </row>
    <row r="273" spans="2:6" x14ac:dyDescent="0.25">
      <c r="B273" s="4"/>
      <c r="C273" s="4"/>
      <c r="D273" s="4"/>
      <c r="E273" s="4"/>
      <c r="F273" s="4"/>
    </row>
    <row r="274" spans="2:6" x14ac:dyDescent="0.25">
      <c r="B274" s="4"/>
      <c r="C274" s="4"/>
      <c r="D274" s="4"/>
      <c r="E274" s="4"/>
      <c r="F274" s="4"/>
    </row>
    <row r="275" spans="2:6" x14ac:dyDescent="0.25">
      <c r="B275" s="4"/>
      <c r="C275" s="4"/>
      <c r="D275" s="4"/>
      <c r="E275" s="4"/>
      <c r="F275" s="4"/>
    </row>
    <row r="276" spans="2:6" x14ac:dyDescent="0.25">
      <c r="B276" s="4"/>
      <c r="C276" s="4"/>
      <c r="D276" s="4"/>
      <c r="E276" s="4"/>
      <c r="F276" s="4"/>
    </row>
    <row r="277" spans="2:6" x14ac:dyDescent="0.25">
      <c r="B277" s="4"/>
      <c r="C277" s="4"/>
      <c r="D277" s="4"/>
      <c r="E277" s="4"/>
      <c r="F277" s="4"/>
    </row>
    <row r="278" spans="2:6" x14ac:dyDescent="0.25">
      <c r="B278" s="4"/>
      <c r="C278" s="4"/>
      <c r="D278" s="4"/>
      <c r="E278" s="4"/>
      <c r="F278" s="4"/>
    </row>
    <row r="279" spans="2:6" x14ac:dyDescent="0.25">
      <c r="B279" s="4"/>
      <c r="C279" s="4"/>
      <c r="D279" s="4"/>
      <c r="E279" s="4"/>
      <c r="F279" s="4"/>
    </row>
    <row r="280" spans="2:6" x14ac:dyDescent="0.25">
      <c r="B280" s="4"/>
      <c r="C280" s="4"/>
      <c r="D280" s="4"/>
      <c r="E280" s="4"/>
      <c r="F280" s="4"/>
    </row>
    <row r="281" spans="2:6" x14ac:dyDescent="0.25">
      <c r="B281" s="4"/>
      <c r="C281" s="4"/>
      <c r="D281" s="4"/>
      <c r="E281" s="4"/>
      <c r="F281" s="4"/>
    </row>
    <row r="282" spans="2:6" x14ac:dyDescent="0.25">
      <c r="B282" s="4"/>
      <c r="C282" s="4"/>
      <c r="D282" s="4"/>
      <c r="E282" s="4"/>
      <c r="F282" s="4"/>
    </row>
    <row r="283" spans="2:6" x14ac:dyDescent="0.25">
      <c r="B283" s="4"/>
      <c r="C283" s="4"/>
      <c r="D283" s="4"/>
      <c r="E283" s="4"/>
      <c r="F283" s="4"/>
    </row>
    <row r="284" spans="2:6" x14ac:dyDescent="0.25">
      <c r="B284" s="4"/>
      <c r="C284" s="4"/>
      <c r="D284" s="4"/>
      <c r="E284" s="4"/>
      <c r="F284" s="4"/>
    </row>
    <row r="285" spans="2:6" x14ac:dyDescent="0.25">
      <c r="B285" s="4"/>
      <c r="C285" s="4"/>
      <c r="D285" s="4"/>
      <c r="E285" s="4"/>
      <c r="F285" s="4"/>
    </row>
    <row r="286" spans="2:6" x14ac:dyDescent="0.25">
      <c r="B286" s="4"/>
      <c r="C286" s="4"/>
      <c r="D286" s="4"/>
      <c r="E286" s="4"/>
      <c r="F286" s="4"/>
    </row>
    <row r="287" spans="2:6" x14ac:dyDescent="0.25">
      <c r="B287" s="4"/>
      <c r="C287" s="4"/>
      <c r="D287" s="4"/>
      <c r="E287" s="4"/>
      <c r="F287" s="4"/>
    </row>
    <row r="288" spans="2:6" x14ac:dyDescent="0.25">
      <c r="B288" s="4"/>
      <c r="C288" s="4"/>
      <c r="D288" s="4"/>
      <c r="E288" s="4"/>
      <c r="F288" s="4"/>
    </row>
    <row r="289" spans="2:6" x14ac:dyDescent="0.25">
      <c r="B289" s="4"/>
      <c r="C289" s="4"/>
      <c r="D289" s="4"/>
      <c r="E289" s="4"/>
      <c r="F289" s="4"/>
    </row>
    <row r="290" spans="2:6" x14ac:dyDescent="0.25">
      <c r="B290" s="4"/>
      <c r="C290" s="4"/>
      <c r="D290" s="4"/>
      <c r="E290" s="4"/>
      <c r="F290" s="4"/>
    </row>
    <row r="291" spans="2:6" x14ac:dyDescent="0.25">
      <c r="B291" s="4"/>
      <c r="C291" s="4"/>
      <c r="D291" s="4"/>
      <c r="E291" s="4"/>
      <c r="F291" s="4"/>
    </row>
    <row r="292" spans="2:6" x14ac:dyDescent="0.25">
      <c r="B292" s="4"/>
      <c r="C292" s="4"/>
      <c r="D292" s="4"/>
      <c r="E292" s="4"/>
      <c r="F292" s="4"/>
    </row>
    <row r="293" spans="2:6" x14ac:dyDescent="0.25">
      <c r="B293" s="4"/>
      <c r="C293" s="4"/>
      <c r="D293" s="4"/>
      <c r="E293" s="4"/>
      <c r="F293" s="4"/>
    </row>
    <row r="294" spans="2:6" x14ac:dyDescent="0.25">
      <c r="B294" s="4"/>
      <c r="C294" s="4"/>
      <c r="D294" s="4"/>
      <c r="E294" s="4"/>
      <c r="F294" s="4"/>
    </row>
    <row r="295" spans="2:6" x14ac:dyDescent="0.25">
      <c r="B295" s="4"/>
      <c r="C295" s="4"/>
      <c r="D295" s="4"/>
      <c r="E295" s="4"/>
      <c r="F295" s="4"/>
    </row>
    <row r="296" spans="2:6" x14ac:dyDescent="0.25">
      <c r="B296" s="4"/>
      <c r="C296" s="4"/>
      <c r="D296" s="4"/>
      <c r="E296" s="4"/>
      <c r="F296" s="4"/>
    </row>
    <row r="297" spans="2:6" x14ac:dyDescent="0.25">
      <c r="B297" s="4"/>
      <c r="C297" s="4"/>
      <c r="D297" s="4"/>
      <c r="E297" s="4"/>
      <c r="F297" s="4"/>
    </row>
    <row r="298" spans="2:6" x14ac:dyDescent="0.25">
      <c r="B298" s="4"/>
      <c r="C298" s="4"/>
      <c r="D298" s="4"/>
      <c r="E298" s="4"/>
      <c r="F298" s="4"/>
    </row>
    <row r="299" spans="2:6" x14ac:dyDescent="0.25">
      <c r="B299" s="4"/>
      <c r="C299" s="4"/>
      <c r="D299" s="4"/>
      <c r="E299" s="4"/>
      <c r="F299" s="4"/>
    </row>
    <row r="300" spans="2:6" x14ac:dyDescent="0.25">
      <c r="B300" s="4"/>
      <c r="C300" s="4"/>
      <c r="D300" s="4"/>
      <c r="E300" s="4"/>
      <c r="F300" s="4"/>
    </row>
    <row r="301" spans="2:6" x14ac:dyDescent="0.25">
      <c r="B301" s="4"/>
      <c r="C301" s="4"/>
      <c r="D301" s="4"/>
      <c r="E301" s="4"/>
      <c r="F301" s="4"/>
    </row>
    <row r="302" spans="2:6" x14ac:dyDescent="0.25">
      <c r="B302" s="4"/>
      <c r="C302" s="4"/>
      <c r="D302" s="4"/>
      <c r="E302" s="4"/>
      <c r="F302" s="4"/>
    </row>
    <row r="303" spans="2:6" x14ac:dyDescent="0.25">
      <c r="B303" s="4"/>
      <c r="C303" s="4"/>
      <c r="D303" s="4"/>
      <c r="E303" s="4"/>
      <c r="F303" s="4"/>
    </row>
    <row r="304" spans="2:6" x14ac:dyDescent="0.25">
      <c r="B304" s="4"/>
      <c r="C304" s="4"/>
      <c r="D304" s="4"/>
      <c r="E304" s="4"/>
      <c r="F304" s="4"/>
    </row>
    <row r="305" spans="2:6" x14ac:dyDescent="0.25">
      <c r="B305" s="4"/>
      <c r="C305" s="4"/>
      <c r="D305" s="4"/>
      <c r="E305" s="4"/>
      <c r="F305" s="4"/>
    </row>
    <row r="306" spans="2:6" x14ac:dyDescent="0.25">
      <c r="B306" s="4"/>
      <c r="C306" s="4"/>
      <c r="D306" s="4"/>
      <c r="E306" s="4"/>
      <c r="F306" s="4"/>
    </row>
    <row r="307" spans="2:6" x14ac:dyDescent="0.25">
      <c r="B307" s="4"/>
      <c r="C307" s="4"/>
      <c r="D307" s="4"/>
      <c r="E307" s="4"/>
      <c r="F307" s="4"/>
    </row>
    <row r="308" spans="2:6" x14ac:dyDescent="0.25">
      <c r="B308" s="4"/>
      <c r="C308" s="4"/>
      <c r="D308" s="4"/>
      <c r="E308" s="4"/>
      <c r="F308" s="4"/>
    </row>
    <row r="309" spans="2:6" x14ac:dyDescent="0.25">
      <c r="B309" s="4"/>
      <c r="C309" s="4"/>
      <c r="D309" s="4"/>
      <c r="E309" s="4"/>
      <c r="F309" s="4"/>
    </row>
    <row r="310" spans="2:6" x14ac:dyDescent="0.25">
      <c r="B310" s="4"/>
      <c r="C310" s="4"/>
      <c r="D310" s="4"/>
      <c r="E310" s="4"/>
      <c r="F310" s="4"/>
    </row>
    <row r="311" spans="2:6" x14ac:dyDescent="0.25">
      <c r="B311" s="4"/>
      <c r="C311" s="4"/>
      <c r="D311" s="4"/>
      <c r="E311" s="4"/>
      <c r="F311" s="4"/>
    </row>
    <row r="312" spans="2:6" x14ac:dyDescent="0.25">
      <c r="B312" s="4"/>
      <c r="C312" s="4"/>
      <c r="D312" s="4"/>
      <c r="E312" s="4"/>
      <c r="F312" s="4"/>
    </row>
    <row r="313" spans="2:6" x14ac:dyDescent="0.25">
      <c r="B313" s="4"/>
      <c r="C313" s="4"/>
      <c r="D313" s="4"/>
      <c r="E313" s="4"/>
      <c r="F313" s="4"/>
    </row>
    <row r="314" spans="2:6" x14ac:dyDescent="0.25">
      <c r="B314" s="4"/>
      <c r="C314" s="4"/>
      <c r="D314" s="4"/>
      <c r="E314" s="4"/>
      <c r="F314" s="4"/>
    </row>
    <row r="315" spans="2:6" x14ac:dyDescent="0.25">
      <c r="B315" s="4"/>
      <c r="C315" s="4"/>
      <c r="D315" s="4"/>
      <c r="E315" s="4"/>
      <c r="F315" s="4"/>
    </row>
    <row r="316" spans="2:6" x14ac:dyDescent="0.25">
      <c r="B316" s="4"/>
      <c r="C316" s="4"/>
      <c r="D316" s="4"/>
      <c r="E316" s="4"/>
      <c r="F316" s="4"/>
    </row>
    <row r="317" spans="2:6" x14ac:dyDescent="0.25">
      <c r="B317" s="4"/>
      <c r="C317" s="4"/>
      <c r="D317" s="4"/>
      <c r="E317" s="4"/>
      <c r="F317" s="4"/>
    </row>
    <row r="318" spans="2:6" x14ac:dyDescent="0.25">
      <c r="B318" s="4"/>
      <c r="C318" s="4"/>
      <c r="D318" s="4"/>
      <c r="E318" s="4"/>
      <c r="F318" s="4"/>
    </row>
    <row r="319" spans="2:6" x14ac:dyDescent="0.25">
      <c r="B319" s="4"/>
      <c r="C319" s="4"/>
      <c r="D319" s="4"/>
      <c r="E319" s="4"/>
      <c r="F319" s="4"/>
    </row>
    <row r="320" spans="2:6" x14ac:dyDescent="0.25">
      <c r="B320" s="4"/>
      <c r="C320" s="4"/>
      <c r="D320" s="4"/>
      <c r="E320" s="4"/>
      <c r="F320" s="4"/>
    </row>
    <row r="321" spans="2:6" x14ac:dyDescent="0.25">
      <c r="B321" s="4"/>
      <c r="C321" s="4"/>
      <c r="D321" s="4"/>
      <c r="E321" s="4"/>
      <c r="F321" s="4"/>
    </row>
    <row r="322" spans="2:6" x14ac:dyDescent="0.25">
      <c r="B322" s="4"/>
      <c r="C322" s="4"/>
      <c r="D322" s="4"/>
      <c r="E322" s="4"/>
      <c r="F322" s="4"/>
    </row>
    <row r="323" spans="2:6" x14ac:dyDescent="0.25">
      <c r="B323" s="4"/>
      <c r="C323" s="4"/>
      <c r="D323" s="4"/>
      <c r="E323" s="4"/>
      <c r="F323" s="4"/>
    </row>
    <row r="324" spans="2:6" x14ac:dyDescent="0.25">
      <c r="B324" s="4"/>
      <c r="C324" s="4"/>
      <c r="D324" s="4"/>
      <c r="E324" s="4"/>
      <c r="F324" s="4"/>
    </row>
    <row r="325" spans="2:6" x14ac:dyDescent="0.25">
      <c r="B325" s="4"/>
      <c r="C325" s="4"/>
      <c r="D325" s="4"/>
      <c r="E325" s="4"/>
      <c r="F325" s="4"/>
    </row>
    <row r="326" spans="2:6" x14ac:dyDescent="0.25">
      <c r="B326" s="4"/>
      <c r="C326" s="4"/>
      <c r="D326" s="4"/>
      <c r="E326" s="4"/>
      <c r="F326" s="4"/>
    </row>
    <row r="327" spans="2:6" x14ac:dyDescent="0.25">
      <c r="B327" s="4"/>
      <c r="C327" s="4"/>
      <c r="D327" s="4"/>
      <c r="E327" s="4"/>
      <c r="F327" s="4"/>
    </row>
    <row r="328" spans="2:6" x14ac:dyDescent="0.25">
      <c r="B328" s="4"/>
      <c r="C328" s="4"/>
      <c r="D328" s="4"/>
      <c r="E328" s="4"/>
      <c r="F328" s="4"/>
    </row>
    <row r="329" spans="2:6" x14ac:dyDescent="0.25">
      <c r="B329" s="4"/>
      <c r="C329" s="4"/>
      <c r="D329" s="4"/>
      <c r="E329" s="4"/>
      <c r="F329" s="4"/>
    </row>
    <row r="330" spans="2:6" x14ac:dyDescent="0.25">
      <c r="B330" s="4"/>
      <c r="C330" s="4"/>
      <c r="D330" s="4"/>
      <c r="E330" s="4"/>
      <c r="F330" s="4"/>
    </row>
    <row r="331" spans="2:6" x14ac:dyDescent="0.25">
      <c r="B331" s="4"/>
      <c r="C331" s="4"/>
      <c r="D331" s="4"/>
      <c r="E331" s="4"/>
      <c r="F331" s="4"/>
    </row>
    <row r="332" spans="2:6" x14ac:dyDescent="0.25">
      <c r="B332" s="4"/>
      <c r="C332" s="4"/>
      <c r="D332" s="4"/>
      <c r="E332" s="4"/>
      <c r="F332" s="4"/>
    </row>
    <row r="333" spans="2:6" x14ac:dyDescent="0.25">
      <c r="B333" s="4"/>
      <c r="C333" s="4"/>
      <c r="D333" s="4"/>
      <c r="E333" s="4"/>
      <c r="F333" s="4"/>
    </row>
    <row r="334" spans="2:6" x14ac:dyDescent="0.25">
      <c r="B334" s="4"/>
      <c r="C334" s="4"/>
      <c r="D334" s="4"/>
      <c r="E334" s="4"/>
      <c r="F334" s="4"/>
    </row>
    <row r="335" spans="2:6" x14ac:dyDescent="0.25">
      <c r="B335" s="4"/>
      <c r="C335" s="4"/>
      <c r="D335" s="4"/>
      <c r="E335" s="4"/>
      <c r="F335" s="4"/>
    </row>
    <row r="336" spans="2:6" x14ac:dyDescent="0.25">
      <c r="B336" s="4"/>
      <c r="C336" s="4"/>
      <c r="D336" s="4"/>
      <c r="E336" s="4"/>
      <c r="F336" s="4"/>
    </row>
    <row r="337" spans="2:6" x14ac:dyDescent="0.25">
      <c r="B337" s="4"/>
      <c r="C337" s="4"/>
      <c r="D337" s="4"/>
      <c r="E337" s="4"/>
      <c r="F337" s="4"/>
    </row>
    <row r="338" spans="2:6" x14ac:dyDescent="0.25">
      <c r="B338" s="4"/>
      <c r="C338" s="4"/>
      <c r="D338" s="4"/>
      <c r="E338" s="4"/>
      <c r="F338" s="4"/>
    </row>
    <row r="339" spans="2:6" x14ac:dyDescent="0.25">
      <c r="B339" s="4"/>
      <c r="C339" s="4"/>
      <c r="D339" s="4"/>
      <c r="E339" s="4"/>
      <c r="F339" s="4"/>
    </row>
    <row r="340" spans="2:6" x14ac:dyDescent="0.25">
      <c r="B340" s="4"/>
      <c r="C340" s="4"/>
      <c r="D340" s="4"/>
      <c r="E340" s="4"/>
      <c r="F340" s="4"/>
    </row>
    <row r="341" spans="2:6" x14ac:dyDescent="0.25">
      <c r="B341" s="4"/>
      <c r="C341" s="4"/>
      <c r="D341" s="4"/>
      <c r="E341" s="4"/>
      <c r="F341" s="4"/>
    </row>
    <row r="342" spans="2:6" x14ac:dyDescent="0.25">
      <c r="B342" s="4"/>
      <c r="C342" s="4"/>
      <c r="D342" s="4"/>
      <c r="E342" s="4"/>
      <c r="F342" s="4"/>
    </row>
    <row r="343" spans="2:6" x14ac:dyDescent="0.25">
      <c r="B343" s="4"/>
      <c r="C343" s="4"/>
      <c r="D343" s="4"/>
      <c r="E343" s="4"/>
      <c r="F343" s="4"/>
    </row>
    <row r="344" spans="2:6" x14ac:dyDescent="0.25">
      <c r="B344" s="4"/>
      <c r="C344" s="4"/>
      <c r="D344" s="4"/>
      <c r="E344" s="4"/>
      <c r="F344" s="4"/>
    </row>
    <row r="345" spans="2:6" x14ac:dyDescent="0.25">
      <c r="B345" s="4"/>
      <c r="C345" s="4"/>
      <c r="D345" s="4"/>
      <c r="E345" s="4"/>
      <c r="F345" s="4"/>
    </row>
    <row r="346" spans="2:6" x14ac:dyDescent="0.25">
      <c r="B346" s="4"/>
      <c r="C346" s="4"/>
      <c r="D346" s="4"/>
      <c r="E346" s="4"/>
      <c r="F346" s="4"/>
    </row>
    <row r="347" spans="2:6" x14ac:dyDescent="0.25">
      <c r="B347" s="4"/>
      <c r="C347" s="4"/>
      <c r="D347" s="4"/>
      <c r="E347" s="4"/>
      <c r="F347" s="4"/>
    </row>
    <row r="348" spans="2:6" x14ac:dyDescent="0.25">
      <c r="B348" s="4"/>
      <c r="C348" s="4"/>
      <c r="D348" s="4"/>
      <c r="E348" s="4"/>
      <c r="F348" s="4"/>
    </row>
    <row r="349" spans="2:6" x14ac:dyDescent="0.25">
      <c r="B349" s="4"/>
      <c r="C349" s="4"/>
      <c r="D349" s="4"/>
      <c r="E349" s="4"/>
      <c r="F349" s="4"/>
    </row>
    <row r="350" spans="2:6" x14ac:dyDescent="0.25">
      <c r="B350" s="4"/>
      <c r="C350" s="4"/>
      <c r="D350" s="4"/>
      <c r="E350" s="4"/>
      <c r="F350" s="4"/>
    </row>
    <row r="351" spans="2:6" x14ac:dyDescent="0.25">
      <c r="B351" s="4"/>
      <c r="C351" s="4"/>
      <c r="D351" s="4"/>
      <c r="E351" s="4"/>
      <c r="F351" s="4"/>
    </row>
    <row r="352" spans="2:6" x14ac:dyDescent="0.25">
      <c r="B352" s="4"/>
      <c r="C352" s="4"/>
      <c r="D352" s="4"/>
      <c r="E352" s="4"/>
      <c r="F352" s="4"/>
    </row>
    <row r="353" spans="2:6" x14ac:dyDescent="0.25">
      <c r="B353" s="4"/>
      <c r="C353" s="4"/>
      <c r="D353" s="4"/>
      <c r="E353" s="4"/>
      <c r="F353" s="4"/>
    </row>
    <row r="354" spans="2:6" x14ac:dyDescent="0.25">
      <c r="B354" s="4"/>
      <c r="C354" s="4"/>
      <c r="D354" s="4"/>
      <c r="E354" s="4"/>
      <c r="F354" s="4"/>
    </row>
    <row r="355" spans="2:6" x14ac:dyDescent="0.25">
      <c r="B355" s="4"/>
      <c r="C355" s="4"/>
      <c r="D355" s="4"/>
      <c r="E355" s="4"/>
      <c r="F355" s="4"/>
    </row>
    <row r="356" spans="2:6" x14ac:dyDescent="0.25">
      <c r="B356" s="4"/>
      <c r="C356" s="4"/>
      <c r="D356" s="4"/>
      <c r="E356" s="4"/>
      <c r="F356" s="4"/>
    </row>
    <row r="357" spans="2:6" x14ac:dyDescent="0.25">
      <c r="B357" s="4"/>
      <c r="C357" s="4"/>
      <c r="D357" s="4"/>
      <c r="E357" s="4"/>
      <c r="F357" s="4"/>
    </row>
    <row r="358" spans="2:6" x14ac:dyDescent="0.25">
      <c r="B358" s="4"/>
      <c r="C358" s="4"/>
      <c r="D358" s="4"/>
      <c r="E358" s="4"/>
      <c r="F358" s="4"/>
    </row>
    <row r="359" spans="2:6" x14ac:dyDescent="0.25">
      <c r="B359" s="4"/>
      <c r="C359" s="4"/>
      <c r="D359" s="4"/>
      <c r="E359" s="4"/>
      <c r="F359" s="4"/>
    </row>
    <row r="360" spans="2:6" x14ac:dyDescent="0.25">
      <c r="B360" s="4"/>
      <c r="C360" s="4"/>
      <c r="D360" s="4"/>
      <c r="E360" s="4"/>
      <c r="F360" s="4"/>
    </row>
    <row r="361" spans="2:6" x14ac:dyDescent="0.25">
      <c r="B361" s="4"/>
      <c r="C361" s="4"/>
      <c r="D361" s="4"/>
      <c r="E361" s="4"/>
      <c r="F361" s="4"/>
    </row>
    <row r="362" spans="2:6" x14ac:dyDescent="0.25">
      <c r="B362" s="4"/>
      <c r="C362" s="4"/>
      <c r="D362" s="4"/>
      <c r="E362" s="4"/>
      <c r="F362" s="4"/>
    </row>
    <row r="363" spans="2:6" x14ac:dyDescent="0.25">
      <c r="B363" s="4"/>
      <c r="C363" s="4"/>
      <c r="D363" s="4"/>
      <c r="E363" s="4"/>
      <c r="F363" s="4"/>
    </row>
    <row r="364" spans="2:6" x14ac:dyDescent="0.25">
      <c r="B364" s="4"/>
      <c r="C364" s="4"/>
      <c r="D364" s="4"/>
      <c r="E364" s="4"/>
      <c r="F364" s="4"/>
    </row>
    <row r="365" spans="2:6" x14ac:dyDescent="0.25">
      <c r="B365" s="4"/>
      <c r="C365" s="4"/>
      <c r="D365" s="4"/>
      <c r="E365" s="4"/>
      <c r="F365" s="4"/>
    </row>
    <row r="366" spans="2:6" x14ac:dyDescent="0.25">
      <c r="B366" s="4"/>
      <c r="C366" s="4"/>
      <c r="D366" s="4"/>
      <c r="E366" s="4"/>
      <c r="F366" s="4"/>
    </row>
    <row r="367" spans="2:6" x14ac:dyDescent="0.25">
      <c r="B367" s="4"/>
      <c r="C367" s="4"/>
      <c r="D367" s="4"/>
      <c r="E367" s="4"/>
      <c r="F367" s="4"/>
    </row>
    <row r="368" spans="2:6" x14ac:dyDescent="0.25">
      <c r="B368" s="4"/>
      <c r="C368" s="4"/>
      <c r="D368" s="4"/>
      <c r="E368" s="4"/>
      <c r="F368" s="4"/>
    </row>
    <row r="369" spans="2:6" x14ac:dyDescent="0.25">
      <c r="B369" s="4"/>
      <c r="C369" s="4"/>
      <c r="D369" s="4"/>
      <c r="E369" s="4"/>
      <c r="F369" s="4"/>
    </row>
    <row r="370" spans="2:6" x14ac:dyDescent="0.25">
      <c r="B370" s="4"/>
      <c r="C370" s="4"/>
      <c r="D370" s="4"/>
      <c r="E370" s="4"/>
      <c r="F370" s="4"/>
    </row>
    <row r="371" spans="2:6" x14ac:dyDescent="0.25">
      <c r="B371" s="4"/>
      <c r="C371" s="4"/>
      <c r="D371" s="4"/>
      <c r="E371" s="4"/>
      <c r="F371" s="4"/>
    </row>
    <row r="372" spans="2:6" x14ac:dyDescent="0.25">
      <c r="B372" s="4"/>
      <c r="C372" s="4"/>
      <c r="D372" s="4"/>
      <c r="E372" s="4"/>
      <c r="F372" s="4"/>
    </row>
    <row r="373" spans="2:6" x14ac:dyDescent="0.25">
      <c r="B373" s="4"/>
      <c r="C373" s="4"/>
      <c r="D373" s="4"/>
      <c r="E373" s="4"/>
      <c r="F373" s="4"/>
    </row>
    <row r="374" spans="2:6" x14ac:dyDescent="0.25">
      <c r="B374" s="4"/>
      <c r="C374" s="4"/>
      <c r="D374" s="4"/>
      <c r="E374" s="4"/>
      <c r="F374" s="4"/>
    </row>
    <row r="375" spans="2:6" x14ac:dyDescent="0.25">
      <c r="B375" s="4"/>
      <c r="C375" s="4"/>
      <c r="D375" s="4"/>
      <c r="E375" s="4"/>
      <c r="F375" s="4"/>
    </row>
    <row r="376" spans="2:6" x14ac:dyDescent="0.25">
      <c r="B376" s="4"/>
      <c r="C376" s="4"/>
      <c r="D376" s="4"/>
      <c r="E376" s="4"/>
      <c r="F376" s="4"/>
    </row>
    <row r="377" spans="2:6" x14ac:dyDescent="0.25">
      <c r="B377" s="4"/>
      <c r="C377" s="4"/>
      <c r="D377" s="4"/>
      <c r="E377" s="4"/>
      <c r="F377" s="4"/>
    </row>
    <row r="378" spans="2:6" x14ac:dyDescent="0.25">
      <c r="B378" s="4"/>
      <c r="C378" s="4"/>
      <c r="D378" s="4"/>
      <c r="E378" s="4"/>
      <c r="F378" s="4"/>
    </row>
    <row r="379" spans="2:6" x14ac:dyDescent="0.25">
      <c r="B379" s="4"/>
      <c r="C379" s="4"/>
      <c r="D379" s="4"/>
      <c r="E379" s="4"/>
      <c r="F379" s="4"/>
    </row>
    <row r="380" spans="2:6" x14ac:dyDescent="0.25">
      <c r="B380" s="4"/>
      <c r="C380" s="4"/>
      <c r="D380" s="4"/>
      <c r="E380" s="4"/>
      <c r="F380" s="4"/>
    </row>
    <row r="381" spans="2:6" x14ac:dyDescent="0.25">
      <c r="B381" s="4"/>
      <c r="C381" s="4"/>
      <c r="D381" s="4"/>
      <c r="E381" s="4"/>
      <c r="F381" s="4"/>
    </row>
    <row r="382" spans="2:6" x14ac:dyDescent="0.25">
      <c r="B382" s="4"/>
      <c r="C382" s="4"/>
      <c r="D382" s="4"/>
      <c r="E382" s="4"/>
      <c r="F382" s="4"/>
    </row>
    <row r="383" spans="2:6" x14ac:dyDescent="0.25">
      <c r="B383" s="4"/>
      <c r="C383" s="4"/>
      <c r="D383" s="4"/>
      <c r="E383" s="4"/>
      <c r="F383" s="4"/>
    </row>
    <row r="384" spans="2:6" x14ac:dyDescent="0.25">
      <c r="B384" s="4"/>
      <c r="C384" s="4"/>
      <c r="D384" s="4"/>
      <c r="E384" s="4"/>
      <c r="F384" s="4"/>
    </row>
    <row r="385" spans="2:6" x14ac:dyDescent="0.25">
      <c r="B385" s="4"/>
      <c r="C385" s="4"/>
      <c r="D385" s="4"/>
      <c r="E385" s="4"/>
      <c r="F385" s="4"/>
    </row>
    <row r="386" spans="2:6" x14ac:dyDescent="0.25">
      <c r="B386" s="4"/>
      <c r="C386" s="4"/>
      <c r="D386" s="4"/>
      <c r="E386" s="4"/>
      <c r="F386" s="4"/>
    </row>
    <row r="387" spans="2:6" x14ac:dyDescent="0.25">
      <c r="B387" s="4"/>
      <c r="C387" s="4"/>
      <c r="D387" s="4"/>
      <c r="E387" s="4"/>
      <c r="F387" s="4"/>
    </row>
    <row r="388" spans="2:6" x14ac:dyDescent="0.25">
      <c r="B388" s="4"/>
      <c r="C388" s="4"/>
      <c r="D388" s="4"/>
      <c r="E388" s="4"/>
      <c r="F388" s="4"/>
    </row>
    <row r="389" spans="2:6" x14ac:dyDescent="0.25">
      <c r="B389" s="4"/>
      <c r="C389" s="4"/>
      <c r="D389" s="4"/>
      <c r="E389" s="4"/>
      <c r="F389" s="4"/>
    </row>
    <row r="390" spans="2:6" x14ac:dyDescent="0.25">
      <c r="B390" s="4"/>
      <c r="C390" s="4"/>
      <c r="D390" s="4"/>
      <c r="E390" s="4"/>
      <c r="F390" s="4"/>
    </row>
    <row r="391" spans="2:6" x14ac:dyDescent="0.25">
      <c r="B391" s="4"/>
      <c r="C391" s="4"/>
      <c r="D391" s="4"/>
      <c r="E391" s="4"/>
      <c r="F391" s="4"/>
    </row>
    <row r="392" spans="2:6" x14ac:dyDescent="0.25">
      <c r="B392" s="4"/>
      <c r="C392" s="4"/>
      <c r="D392" s="4"/>
      <c r="E392" s="4"/>
      <c r="F392" s="4"/>
    </row>
    <row r="393" spans="2:6" x14ac:dyDescent="0.25">
      <c r="B393" s="4"/>
      <c r="C393" s="4"/>
      <c r="D393" s="4"/>
      <c r="E393" s="4"/>
      <c r="F393" s="4"/>
    </row>
    <row r="394" spans="2:6" x14ac:dyDescent="0.25">
      <c r="B394" s="4"/>
      <c r="C394" s="4"/>
      <c r="D394" s="4"/>
      <c r="E394" s="4"/>
      <c r="F394" s="4"/>
    </row>
    <row r="395" spans="2:6" x14ac:dyDescent="0.25">
      <c r="B395" s="4"/>
      <c r="C395" s="4"/>
      <c r="D395" s="4"/>
      <c r="E395" s="4"/>
      <c r="F395" s="4"/>
    </row>
    <row r="396" spans="2:6" x14ac:dyDescent="0.25">
      <c r="B396" s="4"/>
      <c r="C396" s="4"/>
      <c r="D396" s="4"/>
      <c r="E396" s="4"/>
      <c r="F396" s="4"/>
    </row>
    <row r="397" spans="2:6" x14ac:dyDescent="0.25">
      <c r="B397" s="4"/>
      <c r="C397" s="4"/>
      <c r="D397" s="4"/>
      <c r="E397" s="4"/>
      <c r="F397" s="4"/>
    </row>
    <row r="398" spans="2:6" x14ac:dyDescent="0.25">
      <c r="B398" s="4"/>
      <c r="C398" s="4"/>
      <c r="D398" s="4"/>
      <c r="E398" s="4"/>
      <c r="F398" s="4"/>
    </row>
    <row r="399" spans="2:6" x14ac:dyDescent="0.25">
      <c r="B399" s="4"/>
      <c r="C399" s="4"/>
      <c r="D399" s="4"/>
      <c r="E399" s="4"/>
      <c r="F399" s="4"/>
    </row>
    <row r="400" spans="2:6" x14ac:dyDescent="0.25">
      <c r="B400" s="4"/>
      <c r="C400" s="4"/>
      <c r="D400" s="4"/>
      <c r="E400" s="4"/>
      <c r="F400" s="4"/>
    </row>
    <row r="401" spans="2:6" x14ac:dyDescent="0.25">
      <c r="B401" s="4"/>
      <c r="C401" s="4"/>
      <c r="D401" s="4"/>
      <c r="E401" s="4"/>
      <c r="F401" s="4"/>
    </row>
    <row r="402" spans="2:6" x14ac:dyDescent="0.25">
      <c r="B402" s="4"/>
      <c r="C402" s="4"/>
      <c r="D402" s="4"/>
      <c r="E402" s="4"/>
      <c r="F402" s="4"/>
    </row>
    <row r="403" spans="2:6" x14ac:dyDescent="0.25">
      <c r="B403" s="4"/>
      <c r="C403" s="4"/>
      <c r="D403" s="4"/>
      <c r="E403" s="4"/>
      <c r="F403" s="4"/>
    </row>
    <row r="404" spans="2:6" x14ac:dyDescent="0.25">
      <c r="B404" s="4"/>
      <c r="C404" s="4"/>
      <c r="D404" s="4"/>
      <c r="E404" s="4"/>
      <c r="F404" s="4"/>
    </row>
    <row r="405" spans="2:6" x14ac:dyDescent="0.25">
      <c r="B405" s="4"/>
      <c r="C405" s="4"/>
      <c r="D405" s="4"/>
      <c r="E405" s="4"/>
      <c r="F405" s="4"/>
    </row>
    <row r="406" spans="2:6" x14ac:dyDescent="0.25">
      <c r="B406" s="4"/>
      <c r="C406" s="4"/>
      <c r="D406" s="4"/>
      <c r="E406" s="4"/>
      <c r="F406" s="4"/>
    </row>
    <row r="407" spans="2:6" x14ac:dyDescent="0.25">
      <c r="B407" s="4"/>
      <c r="C407" s="4"/>
      <c r="D407" s="4"/>
      <c r="E407" s="4"/>
      <c r="F407" s="4"/>
    </row>
    <row r="408" spans="2:6" x14ac:dyDescent="0.25">
      <c r="B408" s="4"/>
      <c r="C408" s="4"/>
      <c r="D408" s="4"/>
      <c r="E408" s="4"/>
      <c r="F408" s="4"/>
    </row>
    <row r="409" spans="2:6" x14ac:dyDescent="0.25">
      <c r="B409" s="4"/>
      <c r="C409" s="4"/>
      <c r="D409" s="4"/>
      <c r="E409" s="4"/>
      <c r="F409" s="4"/>
    </row>
    <row r="410" spans="2:6" x14ac:dyDescent="0.25">
      <c r="B410" s="4"/>
      <c r="C410" s="4"/>
      <c r="D410" s="4"/>
      <c r="E410" s="4"/>
      <c r="F410" s="4"/>
    </row>
    <row r="411" spans="2:6" x14ac:dyDescent="0.25">
      <c r="B411" s="4"/>
      <c r="C411" s="4"/>
      <c r="D411" s="4"/>
      <c r="E411" s="4"/>
      <c r="F411" s="4"/>
    </row>
    <row r="412" spans="2:6" x14ac:dyDescent="0.25">
      <c r="B412" s="4"/>
      <c r="C412" s="4"/>
      <c r="D412" s="4"/>
      <c r="E412" s="4"/>
      <c r="F412" s="4"/>
    </row>
    <row r="413" spans="2:6" x14ac:dyDescent="0.25">
      <c r="B413" s="4"/>
      <c r="C413" s="4"/>
      <c r="D413" s="4"/>
      <c r="E413" s="4"/>
      <c r="F413" s="4"/>
    </row>
    <row r="414" spans="2:6" x14ac:dyDescent="0.25">
      <c r="B414" s="4"/>
      <c r="C414" s="4"/>
      <c r="D414" s="4"/>
      <c r="E414" s="4"/>
      <c r="F414" s="4"/>
    </row>
    <row r="415" spans="2:6" x14ac:dyDescent="0.25">
      <c r="B415" s="4"/>
      <c r="C415" s="4"/>
      <c r="D415" s="4"/>
      <c r="E415" s="4"/>
      <c r="F415" s="4"/>
    </row>
    <row r="416" spans="2:6" x14ac:dyDescent="0.25">
      <c r="B416" s="4"/>
      <c r="C416" s="4"/>
      <c r="D416" s="4"/>
      <c r="E416" s="4"/>
      <c r="F416" s="4"/>
    </row>
    <row r="417" spans="2:6" x14ac:dyDescent="0.25">
      <c r="B417" s="4"/>
      <c r="C417" s="4"/>
      <c r="D417" s="4"/>
      <c r="E417" s="4"/>
      <c r="F417" s="4"/>
    </row>
    <row r="418" spans="2:6" x14ac:dyDescent="0.25">
      <c r="B418" s="4"/>
      <c r="C418" s="4"/>
      <c r="D418" s="4"/>
      <c r="E418" s="4"/>
      <c r="F418" s="4"/>
    </row>
    <row r="419" spans="2:6" x14ac:dyDescent="0.25">
      <c r="B419" s="4"/>
      <c r="C419" s="4"/>
      <c r="D419" s="4"/>
      <c r="E419" s="4"/>
      <c r="F419" s="4"/>
    </row>
    <row r="420" spans="2:6" x14ac:dyDescent="0.25">
      <c r="B420" s="4"/>
      <c r="C420" s="4"/>
      <c r="D420" s="4"/>
      <c r="E420" s="4"/>
      <c r="F420" s="4"/>
    </row>
    <row r="421" spans="2:6" x14ac:dyDescent="0.25">
      <c r="B421" s="4"/>
      <c r="C421" s="4"/>
      <c r="D421" s="4"/>
      <c r="E421" s="4"/>
      <c r="F421" s="4"/>
    </row>
    <row r="422" spans="2:6" x14ac:dyDescent="0.25">
      <c r="B422" s="4"/>
      <c r="C422" s="4"/>
      <c r="D422" s="4"/>
      <c r="E422" s="4"/>
      <c r="F422" s="4"/>
    </row>
    <row r="423" spans="2:6" x14ac:dyDescent="0.25">
      <c r="B423" s="4"/>
      <c r="C423" s="4"/>
      <c r="D423" s="4"/>
      <c r="E423" s="4"/>
      <c r="F423" s="4"/>
    </row>
    <row r="424" spans="2:6" x14ac:dyDescent="0.25">
      <c r="B424" s="4"/>
      <c r="C424" s="4"/>
      <c r="D424" s="4"/>
      <c r="E424" s="4"/>
      <c r="F424" s="4"/>
    </row>
    <row r="425" spans="2:6" x14ac:dyDescent="0.25">
      <c r="B425" s="4"/>
      <c r="C425" s="4"/>
      <c r="D425" s="4"/>
      <c r="E425" s="4"/>
      <c r="F425" s="4"/>
    </row>
    <row r="426" spans="2:6" x14ac:dyDescent="0.25">
      <c r="B426" s="4"/>
      <c r="C426" s="4"/>
      <c r="D426" s="4"/>
      <c r="E426" s="4"/>
      <c r="F426" s="4"/>
    </row>
    <row r="427" spans="2:6" x14ac:dyDescent="0.25">
      <c r="B427" s="4"/>
      <c r="C427" s="4"/>
      <c r="D427" s="4"/>
      <c r="E427" s="4"/>
      <c r="F427" s="4"/>
    </row>
    <row r="428" spans="2:6" x14ac:dyDescent="0.25">
      <c r="B428" s="4"/>
      <c r="C428" s="4"/>
      <c r="D428" s="4"/>
      <c r="E428" s="4"/>
      <c r="F428" s="4"/>
    </row>
    <row r="429" spans="2:6" x14ac:dyDescent="0.25">
      <c r="B429" s="4"/>
      <c r="C429" s="4"/>
      <c r="D429" s="4"/>
      <c r="E429" s="4"/>
      <c r="F429" s="4"/>
    </row>
    <row r="430" spans="2:6" x14ac:dyDescent="0.25">
      <c r="B430" s="4"/>
      <c r="C430" s="4"/>
      <c r="D430" s="4"/>
      <c r="E430" s="4"/>
      <c r="F430" s="4"/>
    </row>
    <row r="431" spans="2:6" x14ac:dyDescent="0.25">
      <c r="B431" s="4"/>
      <c r="C431" s="4"/>
      <c r="D431" s="4"/>
      <c r="E431" s="4"/>
      <c r="F431" s="4"/>
    </row>
    <row r="432" spans="2:6" x14ac:dyDescent="0.25">
      <c r="B432" s="4"/>
      <c r="C432" s="4"/>
      <c r="D432" s="4"/>
      <c r="E432" s="4"/>
      <c r="F432" s="4"/>
    </row>
    <row r="433" spans="2:10" x14ac:dyDescent="0.25">
      <c r="B433" s="4"/>
      <c r="C433" s="4"/>
      <c r="D433" s="4"/>
      <c r="E433" s="4"/>
      <c r="F433" s="4"/>
    </row>
    <row r="434" spans="2:10" x14ac:dyDescent="0.25">
      <c r="B434" s="4"/>
      <c r="C434" s="4"/>
      <c r="D434" s="4"/>
      <c r="E434" s="4"/>
      <c r="F434" s="4"/>
    </row>
    <row r="435" spans="2:10" x14ac:dyDescent="0.25">
      <c r="B435" s="4"/>
      <c r="C435" s="4"/>
      <c r="D435" s="4"/>
      <c r="E435" s="4"/>
      <c r="F435" s="4"/>
    </row>
    <row r="436" spans="2:10" x14ac:dyDescent="0.25">
      <c r="B436" s="4"/>
      <c r="C436" s="4"/>
      <c r="D436" s="4"/>
      <c r="E436" s="4"/>
      <c r="F436" s="4"/>
    </row>
    <row r="437" spans="2:10" x14ac:dyDescent="0.25">
      <c r="B437" s="4"/>
      <c r="C437" s="4"/>
      <c r="D437" s="4"/>
      <c r="E437" s="4"/>
      <c r="F437" s="4"/>
    </row>
    <row r="438" spans="2:10" x14ac:dyDescent="0.25">
      <c r="B438" s="4"/>
      <c r="C438" s="4"/>
      <c r="D438" s="4"/>
      <c r="E438" s="4"/>
      <c r="F438" s="4"/>
    </row>
    <row r="439" spans="2:10" x14ac:dyDescent="0.25">
      <c r="B439" s="4"/>
      <c r="C439" s="4"/>
      <c r="D439" s="4"/>
      <c r="E439" s="4"/>
      <c r="F439" s="4"/>
    </row>
    <row r="440" spans="2:10" x14ac:dyDescent="0.25">
      <c r="B440" s="4"/>
      <c r="C440" s="4"/>
      <c r="D440" s="4"/>
      <c r="E440" s="4"/>
      <c r="F440" s="4"/>
    </row>
    <row r="441" spans="2:10" x14ac:dyDescent="0.25">
      <c r="B441" s="4"/>
      <c r="C441" s="4"/>
      <c r="D441" s="4"/>
      <c r="E441" s="4"/>
      <c r="F441" s="4"/>
    </row>
    <row r="442" spans="2:10" x14ac:dyDescent="0.25">
      <c r="B442" s="4"/>
      <c r="C442" s="4"/>
      <c r="D442" s="4"/>
      <c r="E442" s="4"/>
      <c r="F442" s="4"/>
    </row>
    <row r="443" spans="2:10" x14ac:dyDescent="0.25">
      <c r="B443" s="4"/>
      <c r="C443" s="4"/>
      <c r="D443" s="4"/>
      <c r="E443" s="4"/>
      <c r="F443" s="4"/>
    </row>
    <row r="444" spans="2:10" x14ac:dyDescent="0.25">
      <c r="B444" s="4"/>
      <c r="C444" s="4"/>
      <c r="D444" s="4"/>
      <c r="E444" s="4"/>
      <c r="F444" s="4"/>
      <c r="J444" s="3"/>
    </row>
    <row r="445" spans="2:10" x14ac:dyDescent="0.25">
      <c r="B445" s="4"/>
      <c r="C445" s="4"/>
      <c r="D445" s="4"/>
      <c r="E445" s="4"/>
      <c r="F445" s="4"/>
    </row>
    <row r="446" spans="2:10" x14ac:dyDescent="0.25">
      <c r="B446" s="4"/>
      <c r="C446" s="4"/>
      <c r="D446" s="4"/>
      <c r="E446" s="4"/>
      <c r="F446" s="4"/>
    </row>
    <row r="447" spans="2:10" x14ac:dyDescent="0.25">
      <c r="B447" s="4"/>
      <c r="C447" s="4"/>
      <c r="D447" s="4"/>
      <c r="E447" s="4"/>
      <c r="F447" s="4"/>
    </row>
    <row r="448" spans="2:10" x14ac:dyDescent="0.25">
      <c r="B448" s="4"/>
      <c r="C448" s="4"/>
      <c r="D448" s="4"/>
      <c r="E448" s="4"/>
      <c r="F448" s="4"/>
    </row>
    <row r="449" spans="1:10" x14ac:dyDescent="0.25">
      <c r="B449" s="4"/>
      <c r="C449" s="4"/>
      <c r="D449" s="4"/>
      <c r="E449" s="4"/>
      <c r="F449" s="4"/>
    </row>
    <row r="450" spans="1:10" x14ac:dyDescent="0.25">
      <c r="B450" s="4"/>
      <c r="C450" s="4"/>
      <c r="D450" s="4"/>
      <c r="E450" s="4"/>
      <c r="F450" s="4"/>
      <c r="G450" s="4"/>
    </row>
    <row r="451" spans="1:10" x14ac:dyDescent="0.25">
      <c r="B451" s="4"/>
      <c r="C451" s="31"/>
      <c r="D451" s="31"/>
      <c r="E451" s="31"/>
      <c r="F451" s="31"/>
      <c r="G451" s="4"/>
    </row>
    <row r="452" spans="1:10" x14ac:dyDescent="0.25">
      <c r="B452" s="4"/>
      <c r="C452" s="32"/>
      <c r="D452" s="32"/>
      <c r="E452" s="32"/>
      <c r="F452" s="32"/>
      <c r="G452" s="4"/>
    </row>
    <row r="453" spans="1:10" x14ac:dyDescent="0.25">
      <c r="B453" s="4"/>
      <c r="C453" s="4"/>
      <c r="D453" s="4"/>
      <c r="E453" s="4"/>
      <c r="F453" s="4"/>
      <c r="G453" s="4"/>
    </row>
    <row r="454" spans="1:10" x14ac:dyDescent="0.25">
      <c r="B454" s="4"/>
      <c r="C454" s="4"/>
      <c r="D454" s="4"/>
      <c r="E454" s="4"/>
      <c r="F454" s="4"/>
      <c r="G454" s="4"/>
    </row>
    <row r="455" spans="1:10" x14ac:dyDescent="0.25">
      <c r="B455" s="4"/>
      <c r="C455" s="4"/>
      <c r="D455" s="4"/>
      <c r="E455" s="4"/>
      <c r="F455" s="4"/>
    </row>
    <row r="456" spans="1:10" x14ac:dyDescent="0.25">
      <c r="B456" s="4"/>
      <c r="C456" s="4"/>
      <c r="D456" s="4"/>
      <c r="E456" s="4"/>
      <c r="F456" s="4"/>
    </row>
    <row r="457" spans="1:10" x14ac:dyDescent="0.25">
      <c r="B457" s="4"/>
      <c r="C457" s="4"/>
      <c r="D457" s="4"/>
      <c r="E457" s="4"/>
      <c r="F457" s="4"/>
    </row>
    <row r="458" spans="1:10" x14ac:dyDescent="0.25">
      <c r="A458" s="4"/>
      <c r="B458" s="4"/>
      <c r="C458" s="4"/>
      <c r="D458" s="4"/>
      <c r="E458" s="4"/>
      <c r="F458" s="4"/>
      <c r="G458" s="3"/>
      <c r="H458" s="3"/>
      <c r="I458" s="3"/>
      <c r="J458" s="3"/>
    </row>
    <row r="459" spans="1:10" x14ac:dyDescent="0.25">
      <c r="A459" s="4"/>
      <c r="B459" s="4"/>
      <c r="C459" s="4"/>
      <c r="D459" s="4"/>
      <c r="E459" s="4"/>
      <c r="F459" s="4"/>
      <c r="G459" s="3"/>
      <c r="H459" s="3"/>
      <c r="I459" s="3"/>
      <c r="J459" s="3"/>
    </row>
    <row r="460" spans="1:10" x14ac:dyDescent="0.25">
      <c r="A460" s="4"/>
      <c r="B460" s="4"/>
      <c r="C460" s="4"/>
      <c r="D460" s="4"/>
      <c r="E460" s="4"/>
      <c r="F460" s="4"/>
      <c r="G460" s="3"/>
      <c r="H460" s="3"/>
      <c r="I460" s="3"/>
      <c r="J460" s="3"/>
    </row>
    <row r="461" spans="1:10" x14ac:dyDescent="0.25">
      <c r="A461" s="4"/>
      <c r="B461" s="4"/>
      <c r="C461" s="4"/>
      <c r="D461" s="4"/>
      <c r="E461" s="4"/>
      <c r="F461" s="4"/>
      <c r="G461" s="3"/>
      <c r="H461" s="3"/>
      <c r="I461" s="3"/>
      <c r="J461" s="3"/>
    </row>
    <row r="462" spans="1:10" x14ac:dyDescent="0.25">
      <c r="A462" s="4"/>
      <c r="B462" s="4"/>
      <c r="C462" s="4"/>
      <c r="D462" s="4"/>
      <c r="E462" s="4"/>
      <c r="F462" s="4"/>
      <c r="G462" s="3"/>
      <c r="H462" s="3"/>
      <c r="I462" s="3"/>
      <c r="J462" s="3"/>
    </row>
    <row r="463" spans="1:10" x14ac:dyDescent="0.25">
      <c r="A463" s="4"/>
      <c r="B463" s="4"/>
      <c r="C463" s="4"/>
      <c r="D463" s="4"/>
      <c r="E463" s="4"/>
      <c r="F463" s="4"/>
      <c r="G463" s="3"/>
      <c r="H463" s="3"/>
      <c r="I463" s="3"/>
      <c r="J463" s="3"/>
    </row>
    <row r="464" spans="1:10" x14ac:dyDescent="0.25">
      <c r="A464" s="4"/>
      <c r="B464" s="4"/>
      <c r="C464" s="4"/>
      <c r="D464" s="4"/>
      <c r="E464" s="4"/>
      <c r="F464" s="4"/>
      <c r="G464" s="3"/>
      <c r="H464" s="3"/>
      <c r="I464" s="3"/>
      <c r="J464" s="3"/>
    </row>
    <row r="465" spans="1:11" x14ac:dyDescent="0.25">
      <c r="A465" s="4"/>
      <c r="B465" s="4"/>
      <c r="C465" s="4"/>
      <c r="D465" s="4"/>
      <c r="E465" s="4"/>
      <c r="F465" s="4"/>
      <c r="G465" s="3"/>
      <c r="H465" s="3"/>
      <c r="I465" s="3"/>
      <c r="J465" s="3"/>
    </row>
    <row r="466" spans="1:11" x14ac:dyDescent="0.25">
      <c r="A466" s="4"/>
      <c r="B466" s="4"/>
      <c r="C466" s="4"/>
      <c r="D466" s="4"/>
      <c r="E466" s="4"/>
      <c r="F466" s="4"/>
      <c r="G466" s="3"/>
      <c r="H466" s="3"/>
      <c r="I466" s="3"/>
      <c r="J466" s="3"/>
    </row>
    <row r="467" spans="1:11" x14ac:dyDescent="0.25">
      <c r="A467" s="4"/>
      <c r="B467" s="4"/>
      <c r="C467" s="4"/>
      <c r="D467" s="4"/>
      <c r="E467" s="4"/>
      <c r="F467" s="4"/>
      <c r="G467" s="3"/>
      <c r="H467" s="3"/>
      <c r="I467" s="3"/>
      <c r="J467" s="3"/>
    </row>
    <row r="468" spans="1:11" x14ac:dyDescent="0.25">
      <c r="A468" s="4"/>
      <c r="B468" s="4"/>
      <c r="C468" s="24"/>
      <c r="D468" s="24"/>
      <c r="E468" s="24"/>
      <c r="F468" s="24"/>
    </row>
    <row r="469" spans="1:11" x14ac:dyDescent="0.25">
      <c r="A469" s="4"/>
      <c r="B469" s="4"/>
      <c r="C469" s="24"/>
      <c r="D469" s="24"/>
      <c r="E469" s="24"/>
      <c r="F469" s="24"/>
    </row>
    <row r="470" spans="1:11" x14ac:dyDescent="0.25">
      <c r="A470" s="4"/>
      <c r="B470" s="4"/>
      <c r="C470" s="24"/>
      <c r="D470" s="24"/>
      <c r="E470" s="24"/>
      <c r="F470" s="24"/>
      <c r="K470" s="3"/>
    </row>
    <row r="471" spans="1:11" x14ac:dyDescent="0.25">
      <c r="A471" s="4"/>
      <c r="B471" s="4"/>
      <c r="C471" s="24"/>
      <c r="D471" s="24"/>
      <c r="E471" s="24"/>
      <c r="F471" s="24"/>
    </row>
    <row r="472" spans="1:11" x14ac:dyDescent="0.25">
      <c r="A472" s="4"/>
      <c r="B472" s="4"/>
      <c r="C472" s="24"/>
      <c r="D472" s="24"/>
      <c r="E472" s="24"/>
      <c r="F472" s="24"/>
    </row>
    <row r="473" spans="1:11" x14ac:dyDescent="0.25">
      <c r="A473" s="4"/>
      <c r="B473" s="4"/>
      <c r="C473" s="24"/>
      <c r="D473" s="24"/>
      <c r="E473" s="24"/>
      <c r="F473" s="24"/>
    </row>
    <row r="474" spans="1:11" x14ac:dyDescent="0.25">
      <c r="A474" s="4"/>
      <c r="B474" s="4"/>
      <c r="C474" s="24"/>
      <c r="D474" s="24"/>
      <c r="E474" s="24"/>
      <c r="F474" s="24"/>
      <c r="K474" s="3"/>
    </row>
    <row r="475" spans="1:11" x14ac:dyDescent="0.25">
      <c r="A475" s="4"/>
      <c r="B475" s="4"/>
      <c r="C475" s="24"/>
      <c r="D475" s="24"/>
      <c r="E475" s="24"/>
      <c r="F475" s="24"/>
    </row>
    <row r="476" spans="1:11" x14ac:dyDescent="0.25">
      <c r="A476" s="23"/>
      <c r="B476" s="23"/>
      <c r="C476" s="30"/>
      <c r="D476" s="30"/>
      <c r="E476" s="30"/>
      <c r="F476" s="30"/>
    </row>
    <row r="477" spans="1:11" x14ac:dyDescent="0.25">
      <c r="A477" s="5"/>
      <c r="B477" s="5"/>
      <c r="C477" s="9"/>
      <c r="D477" s="9"/>
      <c r="E477" s="9"/>
      <c r="F477" s="9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ParametrosModificables</vt:lpstr>
      <vt:lpstr>Hoja1</vt:lpstr>
      <vt:lpstr>ParametrosNoModificables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Pastori</dc:creator>
  <cp:lastModifiedBy>Leandro Pastori</cp:lastModifiedBy>
  <dcterms:created xsi:type="dcterms:W3CDTF">2025-05-29T00:49:50Z</dcterms:created>
  <dcterms:modified xsi:type="dcterms:W3CDTF">2025-12-12T22:11:31Z</dcterms:modified>
</cp:coreProperties>
</file>